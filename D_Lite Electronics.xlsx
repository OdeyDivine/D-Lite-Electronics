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cuments\"/>
    </mc:Choice>
  </mc:AlternateContent>
  <bookViews>
    <workbookView xWindow="0" yWindow="0" windowWidth="23040" windowHeight="9072" firstSheet="3" activeTab="3"/>
  </bookViews>
  <sheets>
    <sheet name="Cover" sheetId="3" state="hidden" r:id="rId1"/>
    <sheet name="Raw Data " sheetId="4" state="hidden" r:id="rId2"/>
    <sheet name="Sheet2" sheetId="5" state="hidden" r:id="rId3"/>
    <sheet name="Sales Analysis" sheetId="6" r:id="rId4"/>
    <sheet name="Product Analysis" sheetId="7" r:id="rId5"/>
    <sheet name="Cleaned Data" sheetId="1" r:id="rId6"/>
  </sheets>
  <definedNames>
    <definedName name="_xlcn.WorksheetConnection_FinalProject1Autosaved.xlsxTable31" hidden="1">Table3[]</definedName>
    <definedName name="Slicer_Category">#N/A</definedName>
    <definedName name="Slicer_Date__Month">#N/A</definedName>
    <definedName name="Slicer_Product">#N/A</definedName>
  </definedNames>
  <calcPr calcId="162913"/>
  <pivotCaches>
    <pivotCache cacheId="887" r:id="rId7"/>
    <pivotCache cacheId="890" r:id="rId8"/>
    <pivotCache cacheId="893" r:id="rId9"/>
    <pivotCache cacheId="896" r:id="rId10"/>
    <pivotCache cacheId="1019" r:id="rId11"/>
    <pivotCache cacheId="1022" r:id="rId12"/>
    <pivotCache cacheId="1025" r:id="rId13"/>
    <pivotCache cacheId="1028" r:id="rId14"/>
  </pivotCaches>
  <extLst>
    <ext xmlns:x14="http://schemas.microsoft.com/office/spreadsheetml/2009/9/main" uri="{876F7934-8845-4945-9796-88D515C7AA90}">
      <x14:pivotCaches>
        <pivotCache cacheId="14"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Final Project (1) (Autosaved).xlsx!Table3"/>
        </x15:modelTables>
        <x15:extLst>
          <ext xmlns:x16="http://schemas.microsoft.com/office/spreadsheetml/2014/11/main" uri="{9835A34E-60A6-4A7C-AAB8-D5F71C897F49}">
            <x16:modelTimeGroupings>
              <x16:modelTimeGrouping tableName="Table3"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I101" i="1" l="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F4" i="5"/>
  <c r="F7" i="5"/>
  <c r="F6" i="5"/>
  <c r="F5" i="5"/>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Final Project (1) (Autosaved).xlsx!Table3" type="102" refreshedVersion="6" minRefreshableVersion="5">
    <extLst>
      <ext xmlns:x15="http://schemas.microsoft.com/office/spreadsheetml/2010/11/main" uri="{DE250136-89BD-433C-8126-D09CA5730AF9}">
        <x15:connection id="Table3" autoDelete="1">
          <x15:rangePr sourceName="_xlcn.WorksheetConnection_FinalProject1Autosaved.xlsxTable31"/>
        </x15:connection>
      </ext>
    </extLst>
  </connection>
</connections>
</file>

<file path=xl/sharedStrings.xml><?xml version="1.0" encoding="utf-8"?>
<sst xmlns="http://schemas.openxmlformats.org/spreadsheetml/2006/main" count="1200" uniqueCount="507">
  <si>
    <t>Date</t>
  </si>
  <si>
    <t>Region</t>
  </si>
  <si>
    <t>Product</t>
  </si>
  <si>
    <t>Category</t>
  </si>
  <si>
    <t>Units Sold</t>
  </si>
  <si>
    <t>Unit Price</t>
  </si>
  <si>
    <t>Sales Rep</t>
  </si>
  <si>
    <t>Customer</t>
  </si>
  <si>
    <t>South</t>
  </si>
  <si>
    <t>Musa Enterprises</t>
  </si>
  <si>
    <t xml:space="preserve">North	</t>
  </si>
  <si>
    <t>Mobile</t>
  </si>
  <si>
    <t>West</t>
  </si>
  <si>
    <t>Alpha Retailers</t>
  </si>
  <si>
    <t>North</t>
  </si>
  <si>
    <t>Aisha Bello</t>
  </si>
  <si>
    <t>Omega Wholesale</t>
  </si>
  <si>
    <t xml:space="preserve">Mobile </t>
  </si>
  <si>
    <t>East</t>
  </si>
  <si>
    <t>Tablet T8</t>
  </si>
  <si>
    <t>Photography</t>
  </si>
  <si>
    <t xml:space="preserve">Femi Tech </t>
  </si>
  <si>
    <t>Chinedu Nwosu</t>
  </si>
  <si>
    <t>Laptop A15</t>
  </si>
  <si>
    <t>Computers</t>
  </si>
  <si>
    <t>Maryam Ltd</t>
  </si>
  <si>
    <t>Laptop A15.</t>
  </si>
  <si>
    <t>Electronics</t>
  </si>
  <si>
    <t>Tope &amp; Sons .</t>
  </si>
  <si>
    <t>Peter Obi</t>
  </si>
  <si>
    <t>Audio</t>
  </si>
  <si>
    <t xml:space="preserve">Jide Superstores </t>
  </si>
  <si>
    <t>Femi Tech</t>
  </si>
  <si>
    <t xml:space="preserve">Tablet T8	</t>
  </si>
  <si>
    <t>Fola Balogun</t>
  </si>
  <si>
    <t xml:space="preserve">Ifeanyi Okafor </t>
  </si>
  <si>
    <t>Chika Mart</t>
  </si>
  <si>
    <t>Norht</t>
  </si>
  <si>
    <t>Emeka Tradesr</t>
  </si>
  <si>
    <t>Mobile .</t>
  </si>
  <si>
    <t xml:space="preserve">Aisha Bello </t>
  </si>
  <si>
    <t>Camera C100,</t>
  </si>
  <si>
    <t>Mary John</t>
  </si>
  <si>
    <t>Capstone project</t>
  </si>
  <si>
    <t>Praise Odunayo</t>
  </si>
  <si>
    <t>Aba Joel</t>
  </si>
  <si>
    <t>Job Austin</t>
  </si>
  <si>
    <t>Tv 43Q</t>
  </si>
  <si>
    <t>Phone X12</t>
  </si>
  <si>
    <t>Monitor M24</t>
  </si>
  <si>
    <t>Camera C100</t>
  </si>
  <si>
    <t>Speaker S10</t>
  </si>
  <si>
    <t>Unknown</t>
  </si>
  <si>
    <t>Peripherals</t>
  </si>
  <si>
    <t>Ifeanyi Okafor</t>
  </si>
  <si>
    <t>Grace Amos</t>
  </si>
  <si>
    <t>Bright Solutions</t>
  </si>
  <si>
    <t>Zainab Global</t>
  </si>
  <si>
    <t>Kelvin Tech</t>
  </si>
  <si>
    <t>Emeka Traders</t>
  </si>
  <si>
    <t>Tola Ventures</t>
  </si>
  <si>
    <t>Jide Superstores</t>
  </si>
  <si>
    <t>Adewale Stores</t>
  </si>
  <si>
    <t xml:space="preserve">Tope &amp; Sons </t>
  </si>
  <si>
    <t>LAPTOP  A15</t>
  </si>
  <si>
    <t xml:space="preserve">computers  </t>
  </si>
  <si>
    <t xml:space="preserve">  Peter Obi   </t>
  </si>
  <si>
    <t>bright solutions</t>
  </si>
  <si>
    <t xml:space="preserve"> EAST</t>
  </si>
  <si>
    <t>tv  43q</t>
  </si>
  <si>
    <t>ELECTRONICS</t>
  </si>
  <si>
    <t xml:space="preserve">Ifeanyi Okafor  </t>
  </si>
  <si>
    <t>PHONE X12</t>
  </si>
  <si>
    <t>fola balogun</t>
  </si>
  <si>
    <t xml:space="preserve"> ZAINAB GLOBAL  </t>
  </si>
  <si>
    <t>17-MAY-2025</t>
  </si>
  <si>
    <t xml:space="preserve">South </t>
  </si>
  <si>
    <t xml:space="preserve"> MONITOR M2 4</t>
  </si>
  <si>
    <t xml:space="preserve">  PERIPHERALS </t>
  </si>
  <si>
    <t>IFEANYI OKAFOR</t>
  </si>
  <si>
    <t xml:space="preserve"> Jid eSuperstores </t>
  </si>
  <si>
    <t xml:space="preserve">28-jan-2025   </t>
  </si>
  <si>
    <t>WEST</t>
  </si>
  <si>
    <t xml:space="preserve">  Phone X12 </t>
  </si>
  <si>
    <t xml:space="preserve"> Mobile</t>
  </si>
  <si>
    <t>petero bi</t>
  </si>
  <si>
    <t>chkia  mart</t>
  </si>
  <si>
    <t xml:space="preserve">  26-May-2025 </t>
  </si>
  <si>
    <t>east,</t>
  </si>
  <si>
    <t>mobile</t>
  </si>
  <si>
    <t>IFEANYI  OKAFOR</t>
  </si>
  <si>
    <t>Musa  Enterprises</t>
  </si>
  <si>
    <t xml:space="preserve"> 06-MAY-2025 </t>
  </si>
  <si>
    <t xml:space="preserve"> WEST </t>
  </si>
  <si>
    <t xml:space="preserve">  tv 43q </t>
  </si>
  <si>
    <t xml:space="preserve"> Electronics</t>
  </si>
  <si>
    <t>AISHA  BELLO</t>
  </si>
  <si>
    <t>Chika  Mart</t>
  </si>
  <si>
    <t>10-Feb-2025</t>
  </si>
  <si>
    <t xml:space="preserve">west  </t>
  </si>
  <si>
    <t xml:space="preserve"> monitor m24  </t>
  </si>
  <si>
    <t>peripherals</t>
  </si>
  <si>
    <t>peter obi</t>
  </si>
  <si>
    <t xml:space="preserve">MUSA ENTERPIRSES </t>
  </si>
  <si>
    <t xml:space="preserve"> 01-FEB-2025 </t>
  </si>
  <si>
    <t xml:space="preserve"> East </t>
  </si>
  <si>
    <t xml:space="preserve"> CAMERA C100</t>
  </si>
  <si>
    <t xml:space="preserve">PHOTOGRAPHY </t>
  </si>
  <si>
    <t xml:space="preserve"> fola balogun </t>
  </si>
  <si>
    <t xml:space="preserve">BRIGTH  SOLUTIONS </t>
  </si>
  <si>
    <t>28-Jun-2025</t>
  </si>
  <si>
    <t>Tablet  T8</t>
  </si>
  <si>
    <t xml:space="preserve">  mobile ,</t>
  </si>
  <si>
    <t xml:space="preserve">  Peter Obi </t>
  </si>
  <si>
    <t xml:space="preserve"> 18-Apr-2025 </t>
  </si>
  <si>
    <t>south</t>
  </si>
  <si>
    <t xml:space="preserve"> TABLET T8 	</t>
  </si>
  <si>
    <t xml:space="preserve">  Mobile</t>
  </si>
  <si>
    <t>fola  balogun</t>
  </si>
  <si>
    <t>MUSA ENTERPRISES</t>
  </si>
  <si>
    <t xml:space="preserve"> 25-Feb-2025</t>
  </si>
  <si>
    <t>Speake r S10</t>
  </si>
  <si>
    <t xml:space="preserve"> Audio </t>
  </si>
  <si>
    <t xml:space="preserve">  29-Apr-2025</t>
  </si>
  <si>
    <t xml:space="preserve">TABLET  T8 </t>
  </si>
  <si>
    <t xml:space="preserve">  AISHA BELLO</t>
  </si>
  <si>
    <t>kelvin tech</t>
  </si>
  <si>
    <t xml:space="preserve">02-Feb-2025  </t>
  </si>
  <si>
    <t xml:space="preserve"> eats</t>
  </si>
  <si>
    <t xml:space="preserve"> tv 43q</t>
  </si>
  <si>
    <t>Chinedu  Nwosu</t>
  </si>
  <si>
    <t>EMEKA  TRADERS</t>
  </si>
  <si>
    <t xml:space="preserve">15-Apr-2025  </t>
  </si>
  <si>
    <t xml:space="preserve">SOUTH </t>
  </si>
  <si>
    <t xml:space="preserve"> Speaker S10 </t>
  </si>
  <si>
    <t xml:space="preserve"> Audio .</t>
  </si>
  <si>
    <t xml:space="preserve">ifeanyi okafor  </t>
  </si>
  <si>
    <t>BRIGHT SOLUTIONS</t>
  </si>
  <si>
    <t>12-Jun-2025</t>
  </si>
  <si>
    <t xml:space="preserve">East  </t>
  </si>
  <si>
    <t>monitor m24</t>
  </si>
  <si>
    <t xml:space="preserve"> Peripherals </t>
  </si>
  <si>
    <t xml:space="preserve">chinedu nwosu   </t>
  </si>
  <si>
    <t>tola  ventures</t>
  </si>
  <si>
    <t xml:space="preserve">  31-JAN-2025 </t>
  </si>
  <si>
    <t xml:space="preserve">Camera  C100 </t>
  </si>
  <si>
    <t xml:space="preserve">Photography </t>
  </si>
  <si>
    <t xml:space="preserve"> Fola Balogun </t>
  </si>
  <si>
    <t>02-FEB-2025</t>
  </si>
  <si>
    <t xml:space="preserve">  West</t>
  </si>
  <si>
    <t xml:space="preserve">  mary john </t>
  </si>
  <si>
    <t xml:space="preserve">  Jide Superstores </t>
  </si>
  <si>
    <t xml:space="preserve">25-May-2025 </t>
  </si>
  <si>
    <t xml:space="preserve"> Camera C100</t>
  </si>
  <si>
    <t>Grace  Amos</t>
  </si>
  <si>
    <t xml:space="preserve">26-FEB-2025    </t>
  </si>
  <si>
    <t xml:space="preserve"> North</t>
  </si>
  <si>
    <t>Camera  C100</t>
  </si>
  <si>
    <t>06-Apr-2025 .</t>
  </si>
  <si>
    <t xml:space="preserve"> EAST </t>
  </si>
  <si>
    <t xml:space="preserve">GRACE AMOS </t>
  </si>
  <si>
    <t>24-FEB-2025</t>
  </si>
  <si>
    <t xml:space="preserve"> camera c100   </t>
  </si>
  <si>
    <t xml:space="preserve">  Photography </t>
  </si>
  <si>
    <t>PETER  OBI</t>
  </si>
  <si>
    <t xml:space="preserve">Emeka Traders </t>
  </si>
  <si>
    <t xml:space="preserve">  24-mar-2025</t>
  </si>
  <si>
    <t>EAST</t>
  </si>
  <si>
    <t xml:space="preserve">Tablet T8 </t>
  </si>
  <si>
    <t xml:space="preserve">  mobile.</t>
  </si>
  <si>
    <t xml:space="preserve">  28-May-2025 </t>
  </si>
  <si>
    <t>north</t>
  </si>
  <si>
    <t xml:space="preserve"> Tablet T8 </t>
  </si>
  <si>
    <t xml:space="preserve">mobile   </t>
  </si>
  <si>
    <t xml:space="preserve"> ifeanyi okafor </t>
  </si>
  <si>
    <t>omega  wholesale</t>
  </si>
  <si>
    <t xml:space="preserve">  12-MAY-2025</t>
  </si>
  <si>
    <t xml:space="preserve">  West </t>
  </si>
  <si>
    <t xml:space="preserve"> Computers </t>
  </si>
  <si>
    <t xml:space="preserve"> Grace Amos </t>
  </si>
  <si>
    <t xml:space="preserve">femi tech </t>
  </si>
  <si>
    <t xml:space="preserve">  11-MAY-2025 </t>
  </si>
  <si>
    <t xml:space="preserve"> East</t>
  </si>
  <si>
    <t xml:space="preserve">Camera C010 </t>
  </si>
  <si>
    <t>photography</t>
  </si>
  <si>
    <t xml:space="preserve">chinedu nwosu </t>
  </si>
  <si>
    <t xml:space="preserve"> 16-JAN-2025 </t>
  </si>
  <si>
    <t>North.</t>
  </si>
  <si>
    <t xml:space="preserve"> SPEAKER S10</t>
  </si>
  <si>
    <t xml:space="preserve"> Audio.</t>
  </si>
  <si>
    <t>grace amos</t>
  </si>
  <si>
    <t xml:space="preserve">  Femi Tech </t>
  </si>
  <si>
    <t>10-May-2025</t>
  </si>
  <si>
    <t xml:space="preserve"> Monitor M24 </t>
  </si>
  <si>
    <t>PERIPHERALS</t>
  </si>
  <si>
    <t xml:space="preserve"> Kelvin Tech 	</t>
  </si>
  <si>
    <t>01-feb-2025</t>
  </si>
  <si>
    <t xml:space="preserve">  South </t>
  </si>
  <si>
    <t xml:space="preserve">TV  43Q </t>
  </si>
  <si>
    <t>elecrtonics</t>
  </si>
  <si>
    <t xml:space="preserve"> zainab global	</t>
  </si>
  <si>
    <t xml:space="preserve">06-feb-2025 </t>
  </si>
  <si>
    <t xml:space="preserve">peter  obi </t>
  </si>
  <si>
    <t xml:space="preserve"> Femi Tech </t>
  </si>
  <si>
    <t>17-JUN-2025</t>
  </si>
  <si>
    <t>west</t>
  </si>
  <si>
    <t xml:space="preserve">Electronics   </t>
  </si>
  <si>
    <t xml:space="preserve">  09-Jan-2025 </t>
  </si>
  <si>
    <t>TABLET T8</t>
  </si>
  <si>
    <t>mobile.</t>
  </si>
  <si>
    <t>alpha retailers</t>
  </si>
  <si>
    <t xml:space="preserve">29-Jun-2025 </t>
  </si>
  <si>
    <t xml:space="preserve">North  </t>
  </si>
  <si>
    <t xml:space="preserve"> PHOTOGRAPHY</t>
  </si>
  <si>
    <t>Alpha  Retailers</t>
  </si>
  <si>
    <t xml:space="preserve">1-9mar-2025 </t>
  </si>
  <si>
    <t xml:space="preserve">mobile </t>
  </si>
  <si>
    <t xml:space="preserve"> Peter Obi </t>
  </si>
  <si>
    <t>Femi  Tech</t>
  </si>
  <si>
    <t>06-Feb-2025</t>
  </si>
  <si>
    <t xml:space="preserve"> laptop a15 	</t>
  </si>
  <si>
    <t>Peter Obi.</t>
  </si>
  <si>
    <t xml:space="preserve">Omega Wholesale </t>
  </si>
  <si>
    <t xml:space="preserve">06-Apr-2025  </t>
  </si>
  <si>
    <t>Monitor  M24</t>
  </si>
  <si>
    <t xml:space="preserve">Peripherals  </t>
  </si>
  <si>
    <t>maryam  ltd</t>
  </si>
  <si>
    <t xml:space="preserve"> 07-Feb-2025</t>
  </si>
  <si>
    <t xml:space="preserve">Monitor  M24 </t>
  </si>
  <si>
    <t xml:space="preserve">Peripherals </t>
  </si>
  <si>
    <t xml:space="preserve"> Mary John </t>
  </si>
  <si>
    <t xml:space="preserve">TOPE  &amp; SONS </t>
  </si>
  <si>
    <t xml:space="preserve">  07-mar-2025</t>
  </si>
  <si>
    <t xml:space="preserve"> east </t>
  </si>
  <si>
    <t>CAMERA C100</t>
  </si>
  <si>
    <t>PHOTOGRAPHY</t>
  </si>
  <si>
    <t xml:space="preserve"> GRACE AMOS</t>
  </si>
  <si>
    <t xml:space="preserve">  07-May-2025</t>
  </si>
  <si>
    <t xml:space="preserve">  North</t>
  </si>
  <si>
    <t xml:space="preserve"> PHONE X12 </t>
  </si>
  <si>
    <t>Mobile.</t>
  </si>
  <si>
    <t xml:space="preserve">  MARY JOHN </t>
  </si>
  <si>
    <t>Chkia  Mart</t>
  </si>
  <si>
    <t xml:space="preserve"> 30-Jun-2025 </t>
  </si>
  <si>
    <t>unknown</t>
  </si>
  <si>
    <t xml:space="preserve"> Musa Enterprises </t>
  </si>
  <si>
    <t xml:space="preserve">NORTH  </t>
  </si>
  <si>
    <t xml:space="preserve"> mary john 	</t>
  </si>
  <si>
    <t>TOPE &amp; SONS</t>
  </si>
  <si>
    <t>13-Jan-2025</t>
  </si>
  <si>
    <t>SOUTH</t>
  </si>
  <si>
    <t xml:space="preserve">  PHONE X12 </t>
  </si>
  <si>
    <t xml:space="preserve">15-JUN-2025  </t>
  </si>
  <si>
    <t xml:space="preserve">south </t>
  </si>
  <si>
    <t>LAPTOP A15</t>
  </si>
  <si>
    <t xml:space="preserve"> Mary John</t>
  </si>
  <si>
    <t xml:space="preserve">Chika  Mart </t>
  </si>
  <si>
    <t>28-Feb-2025</t>
  </si>
  <si>
    <t xml:space="preserve">  east</t>
  </si>
  <si>
    <t xml:space="preserve">SPEAKER  S10 </t>
  </si>
  <si>
    <t xml:space="preserve">ifeanyi okafor </t>
  </si>
  <si>
    <t>19-FEB-2025</t>
  </si>
  <si>
    <t xml:space="preserve">west	</t>
  </si>
  <si>
    <t xml:space="preserve">Mary John </t>
  </si>
  <si>
    <t xml:space="preserve">KELVIN TECH </t>
  </si>
  <si>
    <t>03-mar-2025</t>
  </si>
  <si>
    <t xml:space="preserve">  East</t>
  </si>
  <si>
    <t xml:space="preserve">Tablet  T8 </t>
  </si>
  <si>
    <t xml:space="preserve"> mobile,</t>
  </si>
  <si>
    <t>Fola  Balogun</t>
  </si>
  <si>
    <t xml:space="preserve">  ALPHA RETAILERS 	</t>
  </si>
  <si>
    <t>01-APR-2025</t>
  </si>
  <si>
    <t xml:space="preserve"> west </t>
  </si>
  <si>
    <t>MARY JOHN</t>
  </si>
  <si>
    <t xml:space="preserve">  Chika Mart </t>
  </si>
  <si>
    <t xml:space="preserve">07-APR-2025 </t>
  </si>
  <si>
    <t xml:space="preserve">South  </t>
  </si>
  <si>
    <t>TV  43Q</t>
  </si>
  <si>
    <t>grace amos,</t>
  </si>
  <si>
    <t>26-Feb-2025</t>
  </si>
  <si>
    <t xml:space="preserve"> mobile   </t>
  </si>
  <si>
    <t xml:space="preserve"> KELVIN TECH</t>
  </si>
  <si>
    <t>01-jun-2025</t>
  </si>
  <si>
    <t>Speaker  S10</t>
  </si>
  <si>
    <t>audio</t>
  </si>
  <si>
    <t xml:space="preserve">  Aisha Bello </t>
  </si>
  <si>
    <t xml:space="preserve"> BRIGHT SOLUTIONS</t>
  </si>
  <si>
    <t xml:space="preserve">14-jan-2025  </t>
  </si>
  <si>
    <t xml:space="preserve"> West </t>
  </si>
  <si>
    <t>monitor  m24</t>
  </si>
  <si>
    <t xml:space="preserve"> PERIPHERALS</t>
  </si>
  <si>
    <t xml:space="preserve"> fola balogun</t>
  </si>
  <si>
    <t xml:space="preserve">22-feb-2025 	</t>
  </si>
  <si>
    <t xml:space="preserve"> peripherals </t>
  </si>
  <si>
    <t xml:space="preserve">grace amos </t>
  </si>
  <si>
    <t>jide superstores</t>
  </si>
  <si>
    <t xml:space="preserve">24-amr-2025	</t>
  </si>
  <si>
    <t xml:space="preserve">  WEST</t>
  </si>
  <si>
    <t xml:space="preserve">  aisha bello ,</t>
  </si>
  <si>
    <t xml:space="preserve">  Kelvin Tech </t>
  </si>
  <si>
    <t xml:space="preserve">27-Jan-2025 </t>
  </si>
  <si>
    <t xml:space="preserve"> FEMI TECH</t>
  </si>
  <si>
    <t>04-jna-2025</t>
  </si>
  <si>
    <t xml:space="preserve"> West</t>
  </si>
  <si>
    <t xml:space="preserve">tv  43q </t>
  </si>
  <si>
    <t>IFEANYI OKAFOR .</t>
  </si>
  <si>
    <t>JIDE SUPERSTORES ,</t>
  </si>
  <si>
    <t xml:space="preserve">  08-mar-2025</t>
  </si>
  <si>
    <t xml:space="preserve">north  </t>
  </si>
  <si>
    <t xml:space="preserve">phone x12 </t>
  </si>
  <si>
    <t>aisha  bello</t>
  </si>
  <si>
    <t xml:space="preserve"> adewales tores </t>
  </si>
  <si>
    <t xml:space="preserve"> 23-JAN-2025</t>
  </si>
  <si>
    <t>MOBILE</t>
  </si>
  <si>
    <t>Chinedu  Nwosu,</t>
  </si>
  <si>
    <t xml:space="preserve">maryam ltd </t>
  </si>
  <si>
    <t>16-Jan-2025</t>
  </si>
  <si>
    <t xml:space="preserve"> EAST	</t>
  </si>
  <si>
    <t xml:space="preserve">audio </t>
  </si>
  <si>
    <t>Kelvin  Tech</t>
  </si>
  <si>
    <t>05F-eb-2025</t>
  </si>
  <si>
    <t>Sout	h</t>
  </si>
  <si>
    <t>laptop  a15</t>
  </si>
  <si>
    <t xml:space="preserve">COMPUTERS   </t>
  </si>
  <si>
    <t xml:space="preserve"> aisha bello</t>
  </si>
  <si>
    <t>zainab global</t>
  </si>
  <si>
    <t>east</t>
  </si>
  <si>
    <t xml:space="preserve"> 06-jan-2025  </t>
  </si>
  <si>
    <t xml:space="preserve">  south</t>
  </si>
  <si>
    <t xml:space="preserve">  TABLET T8 </t>
  </si>
  <si>
    <t xml:space="preserve"> Mobile </t>
  </si>
  <si>
    <t xml:space="preserve">  aisha bello</t>
  </si>
  <si>
    <t>Emeka  Traders</t>
  </si>
  <si>
    <t xml:space="preserve">  south 	</t>
  </si>
  <si>
    <t>TV 43Q</t>
  </si>
  <si>
    <t>EELCTRONICS</t>
  </si>
  <si>
    <t xml:space="preserve">  CHINEDU NWOSU</t>
  </si>
  <si>
    <t>Tola  Ventures</t>
  </si>
  <si>
    <t xml:space="preserve"> 14-Jan-2025 </t>
  </si>
  <si>
    <t xml:space="preserve"> EAST,</t>
  </si>
  <si>
    <t xml:space="preserve">  Laptop A15</t>
  </si>
  <si>
    <t xml:space="preserve">Computers  </t>
  </si>
  <si>
    <t xml:space="preserve">  chinedu nwosu </t>
  </si>
  <si>
    <t>CHIKA MART</t>
  </si>
  <si>
    <t xml:space="preserve">02-MAY-2025	</t>
  </si>
  <si>
    <t>WES	T</t>
  </si>
  <si>
    <t>Aisha Bello ,</t>
  </si>
  <si>
    <t xml:space="preserve">17-Jun-2205  </t>
  </si>
  <si>
    <t xml:space="preserve">SPEAKER S10	</t>
  </si>
  <si>
    <t xml:space="preserve">  emeka traders</t>
  </si>
  <si>
    <t xml:space="preserve"> 13-Jan-2025 </t>
  </si>
  <si>
    <t>West.</t>
  </si>
  <si>
    <t xml:space="preserve">  Chinedu Nwosu</t>
  </si>
  <si>
    <t xml:space="preserve"> Tola Ventuers </t>
  </si>
  <si>
    <t xml:space="preserve">02-Jun-2025 </t>
  </si>
  <si>
    <t xml:space="preserve"> MOBILE</t>
  </si>
  <si>
    <t>16-Feb-2025</t>
  </si>
  <si>
    <t>CAMERA C100,</t>
  </si>
  <si>
    <t>Photography,</t>
  </si>
  <si>
    <t xml:space="preserve">peter obi </t>
  </si>
  <si>
    <t>14-APR-2025.</t>
  </si>
  <si>
    <t xml:space="preserve"> Speaker S10</t>
  </si>
  <si>
    <t xml:space="preserve">AUDIO </t>
  </si>
  <si>
    <t xml:space="preserve">  chinedu nwosu</t>
  </si>
  <si>
    <t xml:space="preserve">Kelvin Tech </t>
  </si>
  <si>
    <t xml:space="preserve"> 06-Jan-2025</t>
  </si>
  <si>
    <t xml:space="preserve">Laptop A15 </t>
  </si>
  <si>
    <t xml:space="preserve"> COMPUTERS </t>
  </si>
  <si>
    <t xml:space="preserve">  Grace Amos .</t>
  </si>
  <si>
    <t xml:space="preserve">11-JAN-2025 </t>
  </si>
  <si>
    <t xml:space="preserve">Chinedu Nwosu </t>
  </si>
  <si>
    <t xml:space="preserve"> TOLA VENTURES</t>
  </si>
  <si>
    <t xml:space="preserve"> south,</t>
  </si>
  <si>
    <t xml:space="preserve"> Tv 43Q </t>
  </si>
  <si>
    <t xml:space="preserve"> ELECTRONICS	</t>
  </si>
  <si>
    <t xml:space="preserve">Chinedu  Nwosu </t>
  </si>
  <si>
    <t xml:space="preserve">Omega  Wholesale </t>
  </si>
  <si>
    <t xml:space="preserve"> 14-jan-2025 </t>
  </si>
  <si>
    <t xml:space="preserve"> monitor m24</t>
  </si>
  <si>
    <t xml:space="preserve">PERIPHERALS </t>
  </si>
  <si>
    <t>29-May-2025</t>
  </si>
  <si>
    <t>PHONE  X12</t>
  </si>
  <si>
    <t>zianab  global ,</t>
  </si>
  <si>
    <t xml:space="preserve">15-MAR-2025 </t>
  </si>
  <si>
    <t>Camer aC100</t>
  </si>
  <si>
    <t>AISHA BELLO</t>
  </si>
  <si>
    <t xml:space="preserve"> Jide Superstores   </t>
  </si>
  <si>
    <t>26-Mar-2025</t>
  </si>
  <si>
    <t xml:space="preserve">EAST  </t>
  </si>
  <si>
    <t xml:space="preserve">audio  </t>
  </si>
  <si>
    <t>GRACE AMOS</t>
  </si>
  <si>
    <t xml:space="preserve">Adewale  Stores  </t>
  </si>
  <si>
    <t>12-jan-2025</t>
  </si>
  <si>
    <t xml:space="preserve"> NORTH</t>
  </si>
  <si>
    <t>tv 43q</t>
  </si>
  <si>
    <t xml:space="preserve">  Electronics </t>
  </si>
  <si>
    <t xml:space="preserve">  emeka tarders</t>
  </si>
  <si>
    <t xml:space="preserve"> 23-Jan-2025 </t>
  </si>
  <si>
    <t xml:space="preserve">  tv 43q</t>
  </si>
  <si>
    <t xml:space="preserve">  fola balogun</t>
  </si>
  <si>
    <t xml:space="preserve">  05-May-2025 </t>
  </si>
  <si>
    <t xml:space="preserve">Tv 43Q  </t>
  </si>
  <si>
    <t xml:space="preserve"> ELECTRONICS </t>
  </si>
  <si>
    <t>ifeanyi  okafor</t>
  </si>
  <si>
    <t>19-May-2025</t>
  </si>
  <si>
    <t xml:space="preserve"> SOUTH </t>
  </si>
  <si>
    <t>SPEAKER S10</t>
  </si>
  <si>
    <t xml:space="preserve">  Audio </t>
  </si>
  <si>
    <t xml:space="preserve">aisha bello   </t>
  </si>
  <si>
    <t xml:space="preserve"> 04A-pr-2025</t>
  </si>
  <si>
    <t xml:space="preserve">  EAST</t>
  </si>
  <si>
    <t>TABLET  T8</t>
  </si>
  <si>
    <t xml:space="preserve"> FOLA BALOGUN  </t>
  </si>
  <si>
    <t xml:space="preserve"> Musa Enterprises</t>
  </si>
  <si>
    <t xml:space="preserve"> 26-feb-2025</t>
  </si>
  <si>
    <t xml:space="preserve"> South</t>
  </si>
  <si>
    <t>monitor m24,</t>
  </si>
  <si>
    <t xml:space="preserve"> Peripherals</t>
  </si>
  <si>
    <t xml:space="preserve">Grace Amos </t>
  </si>
  <si>
    <t>femi tech</t>
  </si>
  <si>
    <t xml:space="preserve"> 03-jun-2025</t>
  </si>
  <si>
    <t xml:space="preserve"> adewale stores </t>
  </si>
  <si>
    <t xml:space="preserve">05-apr-2025 </t>
  </si>
  <si>
    <t xml:space="preserve"> COMPUTERS</t>
  </si>
  <si>
    <t xml:space="preserve"> Chinedu Nwosu </t>
  </si>
  <si>
    <t>30-JAN-2025</t>
  </si>
  <si>
    <t>MONITOR  M24</t>
  </si>
  <si>
    <t xml:space="preserve">Perpiherals  </t>
  </si>
  <si>
    <t xml:space="preserve"> 31-Jan-2025 </t>
  </si>
  <si>
    <t xml:space="preserve"> North </t>
  </si>
  <si>
    <t xml:space="preserve">laptop a15 </t>
  </si>
  <si>
    <t xml:space="preserve"> Comupters</t>
  </si>
  <si>
    <t xml:space="preserve"> AISHA BELLO </t>
  </si>
  <si>
    <t xml:space="preserve">OMEGA WHOLESALE </t>
  </si>
  <si>
    <t xml:space="preserve">27-MAY-0225 </t>
  </si>
  <si>
    <t>08-pAr-2025</t>
  </si>
  <si>
    <t xml:space="preserve">Alpha Retailers </t>
  </si>
  <si>
    <t xml:space="preserve"> 13-FEB-2025 </t>
  </si>
  <si>
    <t xml:space="preserve"> Laptop A15</t>
  </si>
  <si>
    <t>Omega  Wholesale</t>
  </si>
  <si>
    <t>09-aMr-2025</t>
  </si>
  <si>
    <t xml:space="preserve">Laptop  A15 	</t>
  </si>
  <si>
    <t xml:space="preserve">  Computers </t>
  </si>
  <si>
    <t xml:space="preserve">IFEANYI O KAFOR 	</t>
  </si>
  <si>
    <t>femi  tech ,</t>
  </si>
  <si>
    <t>20-FEB-2052</t>
  </si>
  <si>
    <t xml:space="preserve">  west</t>
  </si>
  <si>
    <t xml:space="preserve">Speaker  S10 </t>
  </si>
  <si>
    <t>AUDIO</t>
  </si>
  <si>
    <t xml:space="preserve"> fola balogun,</t>
  </si>
  <si>
    <t>FEMI  TECH</t>
  </si>
  <si>
    <t>19-Feb-2025</t>
  </si>
  <si>
    <t>EAST ,</t>
  </si>
  <si>
    <t xml:space="preserve">Laptop A15  </t>
  </si>
  <si>
    <t xml:space="preserve"> COMPUTRES</t>
  </si>
  <si>
    <t>Mary  John</t>
  </si>
  <si>
    <t xml:space="preserve">TOEP &amp; SONS </t>
  </si>
  <si>
    <t xml:space="preserve">10-Apr-2025 </t>
  </si>
  <si>
    <t xml:space="preserve">East </t>
  </si>
  <si>
    <t xml:space="preserve"> Kelvin Tech</t>
  </si>
  <si>
    <t xml:space="preserve"> 21-May-2025</t>
  </si>
  <si>
    <t xml:space="preserve">GRACE AMOS   </t>
  </si>
  <si>
    <t xml:space="preserve"> MUSA ENTERPRISES </t>
  </si>
  <si>
    <t>26-jun-2025</t>
  </si>
  <si>
    <t xml:space="preserve">Camera C100   </t>
  </si>
  <si>
    <t xml:space="preserve">  Photography</t>
  </si>
  <si>
    <t xml:space="preserve"> MARY JOHN .</t>
  </si>
  <si>
    <t xml:space="preserve">Bright Solutions  </t>
  </si>
  <si>
    <t xml:space="preserve"> 20-feb-2025</t>
  </si>
  <si>
    <t xml:space="preserve">  South</t>
  </si>
  <si>
    <t>audio .</t>
  </si>
  <si>
    <t xml:space="preserve">  Peter Obi</t>
  </si>
  <si>
    <t xml:space="preserve"> TOLA VENTURES </t>
  </si>
  <si>
    <t xml:space="preserve">  27-Ju-n2025</t>
  </si>
  <si>
    <t xml:space="preserve">north	</t>
  </si>
  <si>
    <t xml:space="preserve">camera  c100 </t>
  </si>
  <si>
    <t xml:space="preserve">Photography  </t>
  </si>
  <si>
    <t xml:space="preserve"> IFEANYI OKAFOR </t>
  </si>
  <si>
    <t xml:space="preserve">  emeka traders </t>
  </si>
  <si>
    <t xml:space="preserve"> 05-Feb-2025 </t>
  </si>
  <si>
    <t xml:space="preserve">  07-Jun-2025</t>
  </si>
  <si>
    <t xml:space="preserve"> peter obi </t>
  </si>
  <si>
    <t>femi  tech</t>
  </si>
  <si>
    <t xml:space="preserve">  13-May-2025 </t>
  </si>
  <si>
    <t xml:space="preserve"> WEST</t>
  </si>
  <si>
    <t xml:space="preserve">TABLET T8 </t>
  </si>
  <si>
    <t xml:space="preserve"> Mobile  </t>
  </si>
  <si>
    <t xml:space="preserve">grace amos	</t>
  </si>
  <si>
    <t>ALPHA RETAILERS</t>
  </si>
  <si>
    <t>Sum of Units Sold</t>
  </si>
  <si>
    <t>Row Labels</t>
  </si>
  <si>
    <t>Grand Total</t>
  </si>
  <si>
    <t>Distinct Count of Customer</t>
  </si>
  <si>
    <t>Total Quantity Sold</t>
  </si>
  <si>
    <t>Revenue</t>
  </si>
  <si>
    <t>Sum of Revenue</t>
  </si>
  <si>
    <t>Total Revenue</t>
  </si>
  <si>
    <t>No of Customers</t>
  </si>
  <si>
    <t>Jan</t>
  </si>
  <si>
    <t>Feb</t>
  </si>
  <si>
    <t>Mar</t>
  </si>
  <si>
    <t>Apr</t>
  </si>
  <si>
    <t>May</t>
  </si>
  <si>
    <t>Jun</t>
  </si>
  <si>
    <t>Average of Unit Price</t>
  </si>
  <si>
    <t>Avg Price</t>
  </si>
  <si>
    <t>Tope &amp; 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</si>
</sst>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gt;=1000000]\₦0.0,,&quot;M&quot;;[&gt;1000]\₦0.0,&quot;K&quot;;0"/>
    <numFmt numFmtId="165" formatCode="0.0"/>
    <numFmt numFmtId="166" formatCode="[&gt;=1000]\₦0.0,&quot;K&quot;;0"/>
  </numFmts>
  <fonts count="6" x14ac:knownFonts="1">
    <font>
      <sz val="11"/>
      <color theme="1"/>
      <name val="Calibri"/>
      <family val="2"/>
      <scheme val="minor"/>
    </font>
    <font>
      <b/>
      <sz val="11"/>
      <color theme="0"/>
      <name val="Calibri"/>
      <family val="2"/>
    </font>
    <font>
      <b/>
      <sz val="26"/>
      <color rgb="FF002060"/>
      <name val="Calibri"/>
      <family val="2"/>
      <scheme val="minor"/>
    </font>
    <font>
      <b/>
      <sz val="11"/>
      <color rgb="FF002060"/>
      <name val="Calibri"/>
      <family val="2"/>
      <scheme val="minor"/>
    </font>
    <font>
      <sz val="11"/>
      <color theme="1"/>
      <name val="Calibri"/>
      <scheme val="minor"/>
    </font>
    <font>
      <b/>
      <sz val="11"/>
      <color theme="0"/>
      <name val="Calibri"/>
    </font>
  </fonts>
  <fills count="7">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5F4955"/>
        <bgColor indexed="64"/>
      </patternFill>
    </fill>
  </fills>
  <borders count="12">
    <border>
      <left/>
      <right/>
      <top/>
      <bottom/>
      <diagonal/>
    </border>
    <border>
      <left/>
      <right/>
      <top/>
      <bottom style="medium">
        <color indexed="64"/>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thin">
        <color auto="1"/>
      </top>
      <bottom style="thin">
        <color auto="1"/>
      </bottom>
      <diagonal/>
    </border>
    <border>
      <left style="thin">
        <color theme="0"/>
      </left>
      <right/>
      <top style="thin">
        <color theme="0"/>
      </top>
      <bottom/>
      <diagonal/>
    </border>
    <border>
      <left style="thin">
        <color auto="1"/>
      </left>
      <right style="thin">
        <color auto="1"/>
      </right>
      <top/>
      <bottom/>
      <diagonal/>
    </border>
    <border>
      <left style="thin">
        <color theme="0"/>
      </left>
      <right/>
      <top style="thick">
        <color theme="0"/>
      </top>
      <bottom/>
      <diagonal/>
    </border>
    <border>
      <left style="thin">
        <color auto="1"/>
      </left>
      <right style="thin">
        <color auto="1"/>
      </right>
      <top style="thin">
        <color auto="1"/>
      </top>
      <bottom style="thin">
        <color auto="1"/>
      </bottom>
      <diagonal/>
    </border>
    <border>
      <left style="thin">
        <color theme="0"/>
      </left>
      <right/>
      <top/>
      <bottom/>
      <diagonal/>
    </border>
  </borders>
  <cellStyleXfs count="1">
    <xf numFmtId="0" fontId="0" fillId="0" borderId="0"/>
  </cellStyleXfs>
  <cellXfs count="35">
    <xf numFmtId="0" fontId="0" fillId="0" borderId="0" xfId="0"/>
    <xf numFmtId="0" fontId="0" fillId="3" borderId="0" xfId="0" applyFill="1"/>
    <xf numFmtId="0" fontId="2" fillId="3" borderId="1" xfId="0" applyFont="1" applyFill="1" applyBorder="1"/>
    <xf numFmtId="0" fontId="3" fillId="3" borderId="1" xfId="0" applyFont="1" applyFill="1" applyBorder="1"/>
    <xf numFmtId="0" fontId="0" fillId="5" borderId="2" xfId="0" applyFont="1" applyFill="1" applyBorder="1"/>
    <xf numFmtId="0" fontId="0" fillId="5" borderId="3" xfId="0" applyFont="1" applyFill="1" applyBorder="1"/>
    <xf numFmtId="14" fontId="0" fillId="0" borderId="0" xfId="0" applyNumberFormat="1"/>
    <xf numFmtId="14" fontId="1" fillId="2" borderId="3" xfId="0" applyNumberFormat="1" applyFont="1" applyFill="1" applyBorder="1" applyAlignment="1">
      <alignment horizontal="center" vertical="top"/>
    </xf>
    <xf numFmtId="0" fontId="1" fillId="2" borderId="3" xfId="0" applyFont="1" applyFill="1" applyBorder="1" applyAlignment="1">
      <alignment horizontal="center" vertical="top"/>
    </xf>
    <xf numFmtId="14" fontId="0" fillId="4" borderId="3" xfId="0" applyNumberFormat="1" applyFont="1" applyFill="1" applyBorder="1"/>
    <xf numFmtId="0" fontId="0" fillId="4" borderId="3" xfId="0" applyFont="1" applyFill="1" applyBorder="1"/>
    <xf numFmtId="14" fontId="0" fillId="5" borderId="3" xfId="0" applyNumberFormat="1" applyFont="1" applyFill="1" applyBorder="1"/>
    <xf numFmtId="14" fontId="0" fillId="5" borderId="2" xfId="0" applyNumberFormat="1" applyFont="1" applyFill="1" applyBorder="1"/>
    <xf numFmtId="0" fontId="1" fillId="2" borderId="5" xfId="0" applyFont="1" applyFill="1" applyBorder="1" applyAlignment="1">
      <alignment horizontal="center" vertical="top"/>
    </xf>
    <xf numFmtId="0" fontId="1" fillId="2" borderId="4" xfId="0" applyFont="1" applyFill="1" applyBorder="1" applyAlignment="1">
      <alignment horizontal="center" vertical="top"/>
    </xf>
    <xf numFmtId="0" fontId="0" fillId="4" borderId="4" xfId="0" applyFont="1" applyFill="1" applyBorder="1"/>
    <xf numFmtId="0" fontId="0" fillId="5" borderId="4" xfId="0" applyFont="1" applyFill="1" applyBorder="1"/>
    <xf numFmtId="0" fontId="0" fillId="5" borderId="6" xfId="0" applyFont="1" applyFill="1" applyBorder="1"/>
    <xf numFmtId="0" fontId="0" fillId="5" borderId="7" xfId="0" applyFont="1" applyFill="1" applyBorder="1"/>
    <xf numFmtId="0" fontId="1" fillId="2" borderId="8" xfId="0" applyFont="1" applyFill="1" applyBorder="1" applyAlignment="1">
      <alignment horizontal="center" vertical="top"/>
    </xf>
    <xf numFmtId="0" fontId="0" fillId="4" borderId="9" xfId="0" applyFont="1" applyFill="1" applyBorder="1"/>
    <xf numFmtId="0" fontId="0" fillId="4" borderId="7" xfId="0" applyFont="1" applyFill="1" applyBorder="1"/>
    <xf numFmtId="0" fontId="1" fillId="2" borderId="10" xfId="0" applyFont="1" applyFill="1" applyBorder="1" applyAlignment="1">
      <alignment horizontal="center" vertical="top"/>
    </xf>
    <xf numFmtId="15" fontId="0" fillId="0" borderId="10" xfId="0" applyNumberFormat="1" applyBorder="1"/>
    <xf numFmtId="0" fontId="0" fillId="0" borderId="10" xfId="0" applyBorder="1"/>
    <xf numFmtId="0" fontId="0" fillId="0" borderId="0" xfId="0" applyNumberFormat="1"/>
    <xf numFmtId="0" fontId="0" fillId="0" borderId="0" xfId="0" pivotButton="1"/>
    <xf numFmtId="0" fontId="0" fillId="0" borderId="0" xfId="0" applyAlignment="1">
      <alignment horizontal="left"/>
    </xf>
    <xf numFmtId="0" fontId="4" fillId="5" borderId="11" xfId="0" applyFont="1" applyFill="1" applyBorder="1"/>
    <xf numFmtId="0" fontId="5" fillId="2" borderId="8" xfId="0" applyFont="1" applyFill="1" applyBorder="1" applyAlignment="1">
      <alignment horizontal="center" vertical="top"/>
    </xf>
    <xf numFmtId="164" fontId="0" fillId="0" borderId="0" xfId="0" applyNumberFormat="1"/>
    <xf numFmtId="165" fontId="0" fillId="0" borderId="0" xfId="0" applyNumberFormat="1"/>
    <xf numFmtId="1" fontId="0" fillId="0" borderId="0" xfId="0" applyNumberFormat="1"/>
    <xf numFmtId="166" fontId="0" fillId="0" borderId="0" xfId="0" applyNumberFormat="1"/>
    <xf numFmtId="0" fontId="0" fillId="6" borderId="0" xfId="0" applyFill="1"/>
  </cellXfs>
  <cellStyles count="1">
    <cellStyle name="Normal" xfId="0" builtinId="0"/>
  </cellStyles>
  <dxfs count="27">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theme="4" tint="0.79998168889431442"/>
          <bgColor theme="4" tint="0.79998168889431442"/>
        </patternFill>
      </fill>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auto="1"/>
        </top>
        <bottom/>
        <vertical/>
        <horizontal/>
      </border>
    </dxf>
    <dxf>
      <border outline="0">
        <left style="thin">
          <color auto="1"/>
        </left>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scheme val="none"/>
      </font>
      <fill>
        <patternFill patternType="solid">
          <fgColor indexed="64"/>
          <bgColor rgb="FF002060"/>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4" formatCode="[&gt;=1000000]\₦0.0,,&quot;M&quot;;[&gt;1000]\₦0.0,&quot;K&quot;;0"/>
    </dxf>
    <dxf>
      <numFmt numFmtId="164" formatCode="[&gt;=1000000]\₦0.0,,&quot;M&quot;;[&gt;1000]\₦0.0,&quot;K&quot;;0"/>
    </dxf>
    <dxf>
      <numFmt numFmtId="1" formatCode="0"/>
    </dxf>
    <dxf>
      <numFmt numFmtId="165" formatCode="0.0"/>
    </dxf>
    <dxf>
      <numFmt numFmtId="2" formatCode="0.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0.0"/>
    </dxf>
    <dxf>
      <numFmt numFmtId="2" formatCode="0.00"/>
    </dxf>
    <dxf>
      <numFmt numFmtId="165" formatCode="0.0"/>
    </dxf>
    <dxf>
      <font>
        <b/>
        <color theme="1"/>
      </font>
      <border>
        <bottom style="thin">
          <color theme="4"/>
        </bottom>
        <vertical/>
        <horizontal/>
      </border>
    </dxf>
    <dxf>
      <font>
        <b val="0"/>
        <i val="0"/>
        <u val="none"/>
        <sz val="10"/>
        <color rgb="FF414042"/>
      </font>
      <fill>
        <patternFill>
          <bgColor rgb="FF080808"/>
        </patternFill>
      </fill>
      <border diagonalUp="0" diagonalDown="0">
        <left/>
        <right/>
        <top/>
        <bottom/>
        <vertical/>
        <horizontal/>
      </border>
    </dxf>
  </dxfs>
  <tableStyles count="1" defaultTableStyle="TableStyleMedium9" defaultPivotStyle="PivotStyleLight16">
    <tableStyle name="Slicer" pivot="0" table="0" count="10">
      <tableStyleElement type="wholeTable" dxfId="26"/>
      <tableStyleElement type="headerRow" dxfId="25"/>
    </tableStyle>
  </tableStyles>
  <colors>
    <mruColors>
      <color rgb="FF5F4955"/>
      <color rgb="FF1D358B"/>
      <color rgb="FF5C5E5E"/>
      <color rgb="FF080808"/>
      <color rgb="FF414042"/>
      <color rgb="FF58626C"/>
      <color rgb="FF090836"/>
      <color rgb="FF221C20"/>
      <color rgb="FF6B314F"/>
      <color rgb="FFDF604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59996337778862885"/>
            </patternFill>
          </fill>
          <border diagonalUp="0" diagonalDown="0">
            <left/>
            <right/>
            <top/>
            <bottom/>
            <vertical/>
            <horizontal/>
          </border>
        </dxf>
        <dxf>
          <font>
            <color rgb="FF000000"/>
          </font>
          <fill>
            <patternFill patternType="solid">
              <fgColor auto="1"/>
              <bgColor theme="3" tint="0.39994506668294322"/>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u val="none"/>
            <sz val="10"/>
            <color theme="0"/>
          </font>
          <fill>
            <patternFill patternType="solid">
              <fgColor theme="4" tint="0.59999389629810485"/>
              <bgColor theme="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5C5E5E"/>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[D_Lite Electronics.xlsx]Sheet2!PivotTable3</c:name>
    <c:fmtId val="12"/>
  </c:pivotSource>
  <c:chart>
    <c:autoTitleDeleted val="1"/>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ln w="15875" cap="rnd">
            <a:solidFill>
              <a:schemeClr val="accent1"/>
            </a:solidFill>
            <a:round/>
          </a:ln>
          <a:effectLst/>
        </c:spPr>
        <c:marker>
          <c:symbol val="diamond"/>
          <c:size val="4"/>
          <c:spPr>
            <a:solidFill>
              <a:srgbClr val="221C20"/>
            </a:solidFill>
            <a:ln w="9525">
              <a:solidFill>
                <a:srgbClr val="FF0000"/>
              </a:solidFill>
            </a:ln>
            <a:effectLst/>
          </c:spPr>
        </c:marker>
      </c:pivotFmt>
      <c:pivotFmt>
        <c:idx val="5"/>
        <c:spPr>
          <a:solidFill>
            <a:schemeClr val="accent1"/>
          </a:solidFill>
          <a:ln w="15875" cap="rnd">
            <a:solidFill>
              <a:schemeClr val="accent1"/>
            </a:solidFill>
            <a:round/>
          </a:ln>
          <a:effectLst/>
        </c:spPr>
        <c:marker>
          <c:spPr>
            <a:solidFill>
              <a:schemeClr val="accent1"/>
            </a:solidFill>
            <a:ln w="9525">
              <a:solidFill>
                <a:schemeClr val="accent1"/>
              </a:solidFill>
            </a:ln>
            <a:effectLst/>
          </c:spPr>
        </c:marker>
      </c:pivotFmt>
    </c:pivotFmts>
    <c:plotArea>
      <c:layout>
        <c:manualLayout>
          <c:layoutTarget val="inner"/>
          <c:xMode val="edge"/>
          <c:yMode val="edge"/>
          <c:x val="0.15395139643461392"/>
          <c:y val="4.7407142289032048E-2"/>
          <c:w val="0.80751554212623233"/>
          <c:h val="0.84772926111508806"/>
        </c:manualLayout>
      </c:layout>
      <c:lineChart>
        <c:grouping val="standard"/>
        <c:varyColors val="0"/>
        <c:ser>
          <c:idx val="0"/>
          <c:order val="0"/>
          <c:tx>
            <c:strRef>
              <c:f>Sheet2!$F$9</c:f>
              <c:strCache>
                <c:ptCount val="1"/>
                <c:pt idx="0">
                  <c:v>Total</c:v>
                </c:pt>
              </c:strCache>
            </c:strRef>
          </c:tx>
          <c:spPr>
            <a:ln w="15875" cap="rnd">
              <a:solidFill>
                <a:schemeClr val="accent1"/>
              </a:solidFill>
              <a:round/>
            </a:ln>
            <a:effectLst/>
          </c:spPr>
          <c:marker>
            <c:symbol val="diamond"/>
            <c:size val="4"/>
            <c:spPr>
              <a:solidFill>
                <a:srgbClr val="221C20"/>
              </a:solidFill>
              <a:ln w="9525">
                <a:solidFill>
                  <a:srgbClr val="FF0000"/>
                </a:solidFill>
              </a:ln>
              <a:effectLst/>
            </c:spPr>
          </c:marker>
          <c:cat>
            <c:strRef>
              <c:f>Sheet2!$E$10:$E$16</c:f>
              <c:strCache>
                <c:ptCount val="6"/>
                <c:pt idx="0">
                  <c:v>Jan</c:v>
                </c:pt>
                <c:pt idx="1">
                  <c:v>Feb</c:v>
                </c:pt>
                <c:pt idx="2">
                  <c:v>Mar</c:v>
                </c:pt>
                <c:pt idx="3">
                  <c:v>Apr</c:v>
                </c:pt>
                <c:pt idx="4">
                  <c:v>May</c:v>
                </c:pt>
                <c:pt idx="5">
                  <c:v>Jun</c:v>
                </c:pt>
              </c:strCache>
            </c:strRef>
          </c:cat>
          <c:val>
            <c:numRef>
              <c:f>Sheet2!$F$10:$F$16</c:f>
              <c:numCache>
                <c:formatCode>[&gt;=1000000]\₦0.0,,"M";[&gt;1000]\₦0.0,"K";0</c:formatCode>
                <c:ptCount val="6"/>
                <c:pt idx="0">
                  <c:v>57202856</c:v>
                </c:pt>
                <c:pt idx="1">
                  <c:v>124284591</c:v>
                </c:pt>
                <c:pt idx="2">
                  <c:v>18870000</c:v>
                </c:pt>
                <c:pt idx="3">
                  <c:v>24295000</c:v>
                </c:pt>
                <c:pt idx="4">
                  <c:v>31856113</c:v>
                </c:pt>
                <c:pt idx="5">
                  <c:v>46171885</c:v>
                </c:pt>
              </c:numCache>
            </c:numRef>
          </c:val>
          <c:smooth val="1"/>
          <c:extLst>
            <c:ext xmlns:c16="http://schemas.microsoft.com/office/drawing/2014/chart" uri="{C3380CC4-5D6E-409C-BE32-E72D297353CC}">
              <c16:uniqueId val="{00000000-A7C9-42DA-806D-0CB6E0E58755}"/>
            </c:ext>
          </c:extLst>
        </c:ser>
        <c:dLbls>
          <c:showLegendKey val="0"/>
          <c:showVal val="0"/>
          <c:showCatName val="0"/>
          <c:showSerName val="0"/>
          <c:showPercent val="0"/>
          <c:showBubbleSize val="0"/>
        </c:dLbls>
        <c:marker val="1"/>
        <c:smooth val="0"/>
        <c:axId val="901455055"/>
        <c:axId val="901446319"/>
      </c:lineChart>
      <c:catAx>
        <c:axId val="90145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58626C"/>
                </a:solidFill>
                <a:latin typeface="+mn-lt"/>
                <a:ea typeface="+mn-ea"/>
                <a:cs typeface="+mn-cs"/>
              </a:defRPr>
            </a:pPr>
            <a:endParaRPr lang="en-US"/>
          </a:p>
        </c:txPr>
        <c:crossAx val="901446319"/>
        <c:crosses val="autoZero"/>
        <c:auto val="1"/>
        <c:lblAlgn val="ctr"/>
        <c:lblOffset val="100"/>
        <c:noMultiLvlLbl val="0"/>
      </c:catAx>
      <c:valAx>
        <c:axId val="901446319"/>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8626C"/>
                </a:solidFill>
                <a:latin typeface="+mn-lt"/>
                <a:ea typeface="+mn-ea"/>
                <a:cs typeface="+mn-cs"/>
              </a:defRPr>
            </a:pPr>
            <a:endParaRPr lang="en-US"/>
          </a:p>
        </c:txPr>
        <c:crossAx val="9014550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[D_Lite Electronics.xlsx]Sheet2!PivotTable4</c:name>
    <c:fmtId val="28"/>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diamond"/>
          <c:size val="4"/>
          <c:spPr>
            <a:solidFill>
              <a:schemeClr val="accent1"/>
            </a:solidFill>
            <a:ln w="9525">
              <a:solidFill>
                <a:srgbClr val="FF0000"/>
              </a:solidFill>
            </a:ln>
            <a:effectLst/>
          </c:spPr>
        </c:marker>
      </c:pivotFmt>
      <c:pivotFmt>
        <c:idx val="3"/>
        <c:spPr>
          <a:ln w="15875" cap="rnd">
            <a:solidFill>
              <a:schemeClr val="accent1"/>
            </a:solidFill>
            <a:round/>
          </a:ln>
          <a:effectLst/>
        </c:spPr>
        <c:marker>
          <c:symbol val="diamond"/>
          <c:size val="4"/>
          <c:spPr>
            <a:solidFill>
              <a:schemeClr val="accent1"/>
            </a:solidFill>
            <a:ln w="9525">
              <a:solidFill>
                <a:srgbClr val="FF0000"/>
              </a:solidFill>
            </a:ln>
            <a:effectLst/>
          </c:spPr>
        </c:marker>
      </c:pivotFmt>
    </c:pivotFmts>
    <c:plotArea>
      <c:layout/>
      <c:lineChart>
        <c:grouping val="standard"/>
        <c:varyColors val="0"/>
        <c:ser>
          <c:idx val="0"/>
          <c:order val="0"/>
          <c:tx>
            <c:strRef>
              <c:f>Sheet2!$B$20</c:f>
              <c:strCache>
                <c:ptCount val="1"/>
                <c:pt idx="0">
                  <c:v>Total</c:v>
                </c:pt>
              </c:strCache>
            </c:strRef>
          </c:tx>
          <c:spPr>
            <a:ln w="15875" cap="rnd">
              <a:solidFill>
                <a:schemeClr val="accent1"/>
              </a:solidFill>
              <a:round/>
            </a:ln>
            <a:effectLst/>
          </c:spPr>
          <c:marker>
            <c:symbol val="diamond"/>
            <c:size val="4"/>
            <c:spPr>
              <a:solidFill>
                <a:schemeClr val="accent1"/>
              </a:solidFill>
              <a:ln w="9525">
                <a:solidFill>
                  <a:srgbClr val="FF0000"/>
                </a:solidFill>
              </a:ln>
              <a:effectLst/>
            </c:spPr>
          </c:marker>
          <c:cat>
            <c:strRef>
              <c:f>Sheet2!$A$21:$A$27</c:f>
              <c:strCache>
                <c:ptCount val="6"/>
                <c:pt idx="0">
                  <c:v>Jan</c:v>
                </c:pt>
                <c:pt idx="1">
                  <c:v>Feb</c:v>
                </c:pt>
                <c:pt idx="2">
                  <c:v>Mar</c:v>
                </c:pt>
                <c:pt idx="3">
                  <c:v>Apr</c:v>
                </c:pt>
                <c:pt idx="4">
                  <c:v>May</c:v>
                </c:pt>
                <c:pt idx="5">
                  <c:v>Jun</c:v>
                </c:pt>
              </c:strCache>
            </c:strRef>
          </c:cat>
          <c:val>
            <c:numRef>
              <c:f>Sheet2!$B$21:$B$27</c:f>
              <c:numCache>
                <c:formatCode>[&gt;=1000000]\₦0.0,,"M";[&gt;1000]\₦0.0,"K";0</c:formatCode>
                <c:ptCount val="6"/>
                <c:pt idx="0">
                  <c:v>284</c:v>
                </c:pt>
                <c:pt idx="1">
                  <c:v>269</c:v>
                </c:pt>
                <c:pt idx="2">
                  <c:v>111</c:v>
                </c:pt>
                <c:pt idx="3">
                  <c:v>132</c:v>
                </c:pt>
                <c:pt idx="4">
                  <c:v>183</c:v>
                </c:pt>
                <c:pt idx="5">
                  <c:v>162</c:v>
                </c:pt>
              </c:numCache>
            </c:numRef>
          </c:val>
          <c:smooth val="1"/>
          <c:extLst>
            <c:ext xmlns:c16="http://schemas.microsoft.com/office/drawing/2014/chart" uri="{C3380CC4-5D6E-409C-BE32-E72D297353CC}">
              <c16:uniqueId val="{00000000-611F-4E0D-A5DC-4FD81D3E633A}"/>
            </c:ext>
          </c:extLst>
        </c:ser>
        <c:dLbls>
          <c:showLegendKey val="0"/>
          <c:showVal val="0"/>
          <c:showCatName val="0"/>
          <c:showSerName val="0"/>
          <c:showPercent val="0"/>
          <c:showBubbleSize val="0"/>
        </c:dLbls>
        <c:marker val="1"/>
        <c:smooth val="0"/>
        <c:axId val="1809225759"/>
        <c:axId val="1809228255"/>
      </c:lineChart>
      <c:catAx>
        <c:axId val="180922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58626C"/>
                </a:solidFill>
                <a:latin typeface="+mn-lt"/>
                <a:ea typeface="+mn-ea"/>
                <a:cs typeface="+mn-cs"/>
              </a:defRPr>
            </a:pPr>
            <a:endParaRPr lang="en-US"/>
          </a:p>
        </c:txPr>
        <c:crossAx val="1809228255"/>
        <c:crosses val="autoZero"/>
        <c:auto val="1"/>
        <c:lblAlgn val="ctr"/>
        <c:lblOffset val="100"/>
        <c:noMultiLvlLbl val="0"/>
      </c:catAx>
      <c:valAx>
        <c:axId val="1809228255"/>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58626C"/>
                </a:solidFill>
                <a:latin typeface="+mn-lt"/>
                <a:ea typeface="+mn-ea"/>
                <a:cs typeface="+mn-cs"/>
              </a:defRPr>
            </a:pPr>
            <a:endParaRPr lang="en-US"/>
          </a:p>
        </c:txPr>
        <c:crossAx val="18092257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[D_Lite Electronics.xlsx]Sheet2!PivotTable5</c:name>
    <c:fmtId val="28"/>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diamond"/>
          <c:size val="5"/>
          <c:spPr>
            <a:solidFill>
              <a:schemeClr val="accent1"/>
            </a:solidFill>
            <a:ln w="9525">
              <a:solidFill>
                <a:schemeClr val="tx2"/>
              </a:solidFill>
            </a:ln>
            <a:effectLst/>
          </c:spPr>
        </c:marker>
      </c:pivotFmt>
      <c:pivotFmt>
        <c:idx val="6"/>
        <c:spPr>
          <a:solidFill>
            <a:schemeClr val="accent1"/>
          </a:solidFill>
          <a:ln>
            <a:solidFill>
              <a:schemeClr val="bg2">
                <a:lumMod val="50000"/>
              </a:schemeClr>
            </a:solidFill>
          </a:ln>
          <a:effectLst/>
        </c:spPr>
        <c:marker>
          <c:symbol val="none"/>
        </c:marker>
      </c:pivotFmt>
      <c:pivotFmt>
        <c:idx val="7"/>
        <c:spPr>
          <a:ln w="15875" cap="rnd">
            <a:solidFill>
              <a:srgbClr val="FF0000"/>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4376896735564304"/>
          <c:y val="8.2582582582582581E-2"/>
          <c:w val="0.81086829478346456"/>
          <c:h val="0.75719420207609189"/>
        </c:manualLayout>
      </c:layout>
      <c:barChart>
        <c:barDir val="col"/>
        <c:grouping val="clustered"/>
        <c:varyColors val="0"/>
        <c:ser>
          <c:idx val="0"/>
          <c:order val="0"/>
          <c:tx>
            <c:strRef>
              <c:f>Sheet2!$F$20</c:f>
              <c:strCache>
                <c:ptCount val="1"/>
                <c:pt idx="0">
                  <c:v>Sum of Revenue</c:v>
                </c:pt>
              </c:strCache>
            </c:strRef>
          </c:tx>
          <c:spPr>
            <a:solidFill>
              <a:schemeClr val="accent1"/>
            </a:solidFill>
            <a:ln>
              <a:solidFill>
                <a:schemeClr val="bg2">
                  <a:lumMod val="50000"/>
                </a:schemeClr>
              </a:solidFill>
            </a:ln>
            <a:effectLst/>
          </c:spPr>
          <c:invertIfNegative val="0"/>
          <c:cat>
            <c:strRef>
              <c:f>Sheet2!$E$21:$E$25</c:f>
              <c:strCache>
                <c:ptCount val="4"/>
                <c:pt idx="0">
                  <c:v>East</c:v>
                </c:pt>
                <c:pt idx="1">
                  <c:v>North</c:v>
                </c:pt>
                <c:pt idx="2">
                  <c:v>South</c:v>
                </c:pt>
                <c:pt idx="3">
                  <c:v>West</c:v>
                </c:pt>
              </c:strCache>
            </c:strRef>
          </c:cat>
          <c:val>
            <c:numRef>
              <c:f>Sheet2!$F$21:$F$25</c:f>
              <c:numCache>
                <c:formatCode>[&gt;=1000000]\₦0.0,,"M";[&gt;1000]\₦0.0,"K";0</c:formatCode>
                <c:ptCount val="4"/>
                <c:pt idx="0">
                  <c:v>79518498</c:v>
                </c:pt>
                <c:pt idx="1">
                  <c:v>39490000</c:v>
                </c:pt>
                <c:pt idx="2">
                  <c:v>68129460</c:v>
                </c:pt>
                <c:pt idx="3">
                  <c:v>115542487</c:v>
                </c:pt>
              </c:numCache>
            </c:numRef>
          </c:val>
          <c:extLst>
            <c:ext xmlns:c16="http://schemas.microsoft.com/office/drawing/2014/chart" uri="{C3380CC4-5D6E-409C-BE32-E72D297353CC}">
              <c16:uniqueId val="{00000000-B9D9-4CB6-85E8-AD1061D161D0}"/>
            </c:ext>
          </c:extLst>
        </c:ser>
        <c:dLbls>
          <c:showLegendKey val="0"/>
          <c:showVal val="0"/>
          <c:showCatName val="0"/>
          <c:showSerName val="0"/>
          <c:showPercent val="0"/>
          <c:showBubbleSize val="0"/>
        </c:dLbls>
        <c:gapWidth val="98"/>
        <c:overlap val="61"/>
        <c:axId val="1815592911"/>
        <c:axId val="1815594575"/>
      </c:barChart>
      <c:lineChart>
        <c:grouping val="standard"/>
        <c:varyColors val="0"/>
        <c:ser>
          <c:idx val="1"/>
          <c:order val="1"/>
          <c:tx>
            <c:strRef>
              <c:f>Sheet2!$G$20</c:f>
              <c:strCache>
                <c:ptCount val="1"/>
                <c:pt idx="0">
                  <c:v>Sum of Units Sold</c:v>
                </c:pt>
              </c:strCache>
            </c:strRef>
          </c:tx>
          <c:spPr>
            <a:ln w="15875" cap="rnd">
              <a:solidFill>
                <a:srgbClr val="FF0000"/>
              </a:solidFill>
              <a:round/>
            </a:ln>
            <a:effectLst/>
          </c:spPr>
          <c:marker>
            <c:symbol val="circle"/>
            <c:size val="5"/>
            <c:spPr>
              <a:solidFill>
                <a:schemeClr val="accent2"/>
              </a:solidFill>
              <a:ln w="9525">
                <a:solidFill>
                  <a:schemeClr val="accent2"/>
                </a:solidFill>
              </a:ln>
              <a:effectLst/>
            </c:spPr>
          </c:marker>
          <c:cat>
            <c:strRef>
              <c:f>Sheet2!$E$21:$E$25</c:f>
              <c:strCache>
                <c:ptCount val="4"/>
                <c:pt idx="0">
                  <c:v>East</c:v>
                </c:pt>
                <c:pt idx="1">
                  <c:v>North</c:v>
                </c:pt>
                <c:pt idx="2">
                  <c:v>South</c:v>
                </c:pt>
                <c:pt idx="3">
                  <c:v>West</c:v>
                </c:pt>
              </c:strCache>
            </c:strRef>
          </c:cat>
          <c:val>
            <c:numRef>
              <c:f>Sheet2!$G$21:$G$25</c:f>
              <c:numCache>
                <c:formatCode>[&gt;=1000000]\₦0.0,,"M";[&gt;1000]\₦0.0,"K";0</c:formatCode>
                <c:ptCount val="4"/>
                <c:pt idx="0">
                  <c:v>430</c:v>
                </c:pt>
                <c:pt idx="1">
                  <c:v>196</c:v>
                </c:pt>
                <c:pt idx="2">
                  <c:v>292</c:v>
                </c:pt>
                <c:pt idx="3">
                  <c:v>223</c:v>
                </c:pt>
              </c:numCache>
            </c:numRef>
          </c:val>
          <c:smooth val="1"/>
          <c:extLst>
            <c:ext xmlns:c16="http://schemas.microsoft.com/office/drawing/2014/chart" uri="{C3380CC4-5D6E-409C-BE32-E72D297353CC}">
              <c16:uniqueId val="{00000001-B9D9-4CB6-85E8-AD1061D161D0}"/>
            </c:ext>
          </c:extLst>
        </c:ser>
        <c:dLbls>
          <c:showLegendKey val="0"/>
          <c:showVal val="0"/>
          <c:showCatName val="0"/>
          <c:showSerName val="0"/>
          <c:showPercent val="0"/>
          <c:showBubbleSize val="0"/>
        </c:dLbls>
        <c:marker val="1"/>
        <c:smooth val="0"/>
        <c:axId val="1819743711"/>
        <c:axId val="1819748287"/>
      </c:lineChart>
      <c:catAx>
        <c:axId val="18155929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58626C"/>
                </a:solidFill>
                <a:latin typeface="+mn-lt"/>
                <a:ea typeface="+mn-ea"/>
                <a:cs typeface="+mn-cs"/>
              </a:defRPr>
            </a:pPr>
            <a:endParaRPr lang="en-US"/>
          </a:p>
        </c:txPr>
        <c:crossAx val="1815594575"/>
        <c:crosses val="autoZero"/>
        <c:auto val="1"/>
        <c:lblAlgn val="ctr"/>
        <c:lblOffset val="100"/>
        <c:noMultiLvlLbl val="0"/>
      </c:catAx>
      <c:valAx>
        <c:axId val="1815594575"/>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58626C"/>
                </a:solidFill>
                <a:latin typeface="+mn-lt"/>
                <a:ea typeface="+mn-ea"/>
                <a:cs typeface="+mn-cs"/>
              </a:defRPr>
            </a:pPr>
            <a:endParaRPr lang="en-US"/>
          </a:p>
        </c:txPr>
        <c:crossAx val="1815592911"/>
        <c:crosses val="autoZero"/>
        <c:crossBetween val="between"/>
      </c:valAx>
      <c:valAx>
        <c:axId val="1819748287"/>
        <c:scaling>
          <c:orientation val="minMax"/>
        </c:scaling>
        <c:delete val="0"/>
        <c:axPos val="r"/>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tx1">
                    <a:lumMod val="65000"/>
                    <a:lumOff val="35000"/>
                  </a:schemeClr>
                </a:solidFill>
                <a:latin typeface="+mn-lt"/>
                <a:ea typeface="+mn-ea"/>
                <a:cs typeface="+mn-cs"/>
              </a:defRPr>
            </a:pPr>
            <a:endParaRPr lang="en-US"/>
          </a:p>
        </c:txPr>
        <c:crossAx val="1819743711"/>
        <c:crosses val="max"/>
        <c:crossBetween val="between"/>
      </c:valAx>
      <c:catAx>
        <c:axId val="1819743711"/>
        <c:scaling>
          <c:orientation val="minMax"/>
        </c:scaling>
        <c:delete val="1"/>
        <c:axPos val="b"/>
        <c:numFmt formatCode="General" sourceLinked="1"/>
        <c:majorTickMark val="out"/>
        <c:minorTickMark val="none"/>
        <c:tickLblPos val="nextTo"/>
        <c:crossAx val="1819748287"/>
        <c:crosses val="autoZero"/>
        <c:auto val="1"/>
        <c:lblAlgn val="ctr"/>
        <c:lblOffset val="100"/>
        <c:noMultiLvlLbl val="0"/>
      </c:catAx>
      <c:spPr>
        <a:noFill/>
        <a:ln>
          <a:noFill/>
        </a:ln>
        <a:effectLst/>
      </c:spPr>
    </c:plotArea>
    <c:legend>
      <c:legendPos val="r"/>
      <c:layout>
        <c:manualLayout>
          <c:xMode val="edge"/>
          <c:yMode val="edge"/>
          <c:x val="0.5151841371391076"/>
          <c:y val="3.2644652526542285E-2"/>
          <c:w val="0.48156065452755903"/>
          <c:h val="0.13140739164361209"/>
        </c:manualLayout>
      </c:layout>
      <c:overlay val="0"/>
      <c:spPr>
        <a:noFill/>
        <a:ln>
          <a:noFill/>
        </a:ln>
        <a:effectLst/>
      </c:spPr>
      <c:txPr>
        <a:bodyPr rot="0" spcFirstLastPara="1" vertOverflow="ellipsis" vert="horz" wrap="square" anchor="ctr" anchorCtr="1"/>
        <a:lstStyle/>
        <a:p>
          <a:pPr>
            <a:defRPr sz="700" b="0" i="0" u="none" strike="noStrike" kern="1200" baseline="0">
              <a:solidFill>
                <a:srgbClr val="58626C"/>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[D_Lite Electronics.xlsx]Sheet2!PivotTable6</c:name>
    <c:fmtId val="2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862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4520825741852692"/>
          <c:y val="3.8596491228070177E-2"/>
          <c:w val="0.68772266142788485"/>
          <c:h val="0.92280701754385963"/>
        </c:manualLayout>
      </c:layout>
      <c:barChart>
        <c:barDir val="bar"/>
        <c:grouping val="clustered"/>
        <c:varyColors val="0"/>
        <c:ser>
          <c:idx val="0"/>
          <c:order val="0"/>
          <c:tx>
            <c:strRef>
              <c:f>Sheet2!$J$9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8626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Sheet2!$I$10:$I$24</c:f>
              <c:strCache>
                <c:ptCount val="14"/>
                <c:pt idx="0">
                  <c:v>Adewale Stores</c:v>
                </c:pt>
                <c:pt idx="1">
                  <c:v>Tope &amp; Sons</c:v>
                </c:pt>
                <c:pt idx="2">
                  <c:v>Kelvin Tech</c:v>
                </c:pt>
                <c:pt idx="3">
                  <c:v>Zainab Global</c:v>
                </c:pt>
                <c:pt idx="4">
                  <c:v>Alpha Retailers</c:v>
                </c:pt>
                <c:pt idx="5">
                  <c:v>Tola Ventures</c:v>
                </c:pt>
                <c:pt idx="6">
                  <c:v>Maryam Ltd</c:v>
                </c:pt>
                <c:pt idx="7">
                  <c:v>Chika Mart</c:v>
                </c:pt>
                <c:pt idx="8">
                  <c:v>Emeka Traders</c:v>
                </c:pt>
                <c:pt idx="9">
                  <c:v>Jide Superstores</c:v>
                </c:pt>
                <c:pt idx="10">
                  <c:v>Musa Enterprises</c:v>
                </c:pt>
                <c:pt idx="11">
                  <c:v>Femi Tech</c:v>
                </c:pt>
                <c:pt idx="12">
                  <c:v>Bright Solutions</c:v>
                </c:pt>
                <c:pt idx="13">
                  <c:v>Omega Wholesale</c:v>
                </c:pt>
              </c:strCache>
            </c:strRef>
          </c:cat>
          <c:val>
            <c:numRef>
              <c:f>Sheet2!$J$10:$J$24</c:f>
              <c:numCache>
                <c:formatCode>[&gt;=1000000]\₦0.0,,"M";[&gt;1000]\₦0.0,"K";0</c:formatCode>
                <c:ptCount val="14"/>
                <c:pt idx="0">
                  <c:v>2195000</c:v>
                </c:pt>
                <c:pt idx="1">
                  <c:v>8064960</c:v>
                </c:pt>
                <c:pt idx="2">
                  <c:v>10125000</c:v>
                </c:pt>
                <c:pt idx="3">
                  <c:v>10235000</c:v>
                </c:pt>
                <c:pt idx="4">
                  <c:v>11480000</c:v>
                </c:pt>
                <c:pt idx="5">
                  <c:v>12027385</c:v>
                </c:pt>
                <c:pt idx="6">
                  <c:v>12435000</c:v>
                </c:pt>
                <c:pt idx="7">
                  <c:v>15300000</c:v>
                </c:pt>
                <c:pt idx="8">
                  <c:v>17965000</c:v>
                </c:pt>
                <c:pt idx="9">
                  <c:v>23270000</c:v>
                </c:pt>
                <c:pt idx="10">
                  <c:v>27191113</c:v>
                </c:pt>
                <c:pt idx="11">
                  <c:v>31117487</c:v>
                </c:pt>
                <c:pt idx="12">
                  <c:v>31715000</c:v>
                </c:pt>
                <c:pt idx="13">
                  <c:v>89559500</c:v>
                </c:pt>
              </c:numCache>
            </c:numRef>
          </c:val>
          <c:extLst>
            <c:ext xmlns:c16="http://schemas.microsoft.com/office/drawing/2014/chart" uri="{C3380CC4-5D6E-409C-BE32-E72D297353CC}">
              <c16:uniqueId val="{00000000-362D-4FDF-8AA6-B76CE5BD7F3F}"/>
            </c:ext>
          </c:extLst>
        </c:ser>
        <c:dLbls>
          <c:dLblPos val="outEnd"/>
          <c:showLegendKey val="0"/>
          <c:showVal val="1"/>
          <c:showCatName val="0"/>
          <c:showSerName val="0"/>
          <c:showPercent val="0"/>
          <c:showBubbleSize val="0"/>
        </c:dLbls>
        <c:gapWidth val="37"/>
        <c:axId val="2024976127"/>
        <c:axId val="2024975711"/>
      </c:barChart>
      <c:catAx>
        <c:axId val="20249761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58626C"/>
                </a:solidFill>
                <a:latin typeface="+mn-lt"/>
                <a:ea typeface="+mn-ea"/>
                <a:cs typeface="+mn-cs"/>
              </a:defRPr>
            </a:pPr>
            <a:endParaRPr lang="en-US"/>
          </a:p>
        </c:txPr>
        <c:crossAx val="2024975711"/>
        <c:crosses val="autoZero"/>
        <c:auto val="1"/>
        <c:lblAlgn val="ctr"/>
        <c:lblOffset val="100"/>
        <c:noMultiLvlLbl val="0"/>
      </c:catAx>
      <c:valAx>
        <c:axId val="2024975711"/>
        <c:scaling>
          <c:orientation val="minMax"/>
        </c:scaling>
        <c:delete val="1"/>
        <c:axPos val="b"/>
        <c:numFmt formatCode="[&gt;=1000000]\₦0.0,,&quot;M&quot;;[&gt;1000]\₦0.0,&quot;K&quot;;0" sourceLinked="1"/>
        <c:majorTickMark val="none"/>
        <c:minorTickMark val="none"/>
        <c:tickLblPos val="nextTo"/>
        <c:crossAx val="20249761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[D_Lite Electronics.xlsx]Sheet2!PivotTable7</c:name>
    <c:fmtId val="2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5862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794055672617308E-5"/>
          <c:y val="0.22797102285291262"/>
          <c:w val="0.95590828924162252"/>
          <c:h val="0.61987780373607149"/>
        </c:manualLayout>
      </c:layout>
      <c:barChart>
        <c:barDir val="col"/>
        <c:grouping val="clustered"/>
        <c:varyColors val="0"/>
        <c:ser>
          <c:idx val="0"/>
          <c:order val="0"/>
          <c:tx>
            <c:strRef>
              <c:f>Sheet2!$B$30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58626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Sheet2!$A$31:$A$39</c:f>
              <c:strCache>
                <c:ptCount val="8"/>
                <c:pt idx="0">
                  <c:v>Unknown</c:v>
                </c:pt>
                <c:pt idx="1">
                  <c:v>Tv 43Q</c:v>
                </c:pt>
                <c:pt idx="2">
                  <c:v>Tablet T8</c:v>
                </c:pt>
                <c:pt idx="3">
                  <c:v>Speaker S10</c:v>
                </c:pt>
                <c:pt idx="4">
                  <c:v>Phone X12</c:v>
                </c:pt>
                <c:pt idx="5">
                  <c:v>Monitor M24</c:v>
                </c:pt>
                <c:pt idx="6">
                  <c:v>Laptop A15</c:v>
                </c:pt>
                <c:pt idx="7">
                  <c:v>Camera C100</c:v>
                </c:pt>
              </c:strCache>
            </c:strRef>
          </c:cat>
          <c:val>
            <c:numRef>
              <c:f>Sheet2!$B$31:$B$39</c:f>
              <c:numCache>
                <c:formatCode>[&gt;=1000000]\₦0.0,,"M";[&gt;1000]\₦0.0,"K";0</c:formatCode>
                <c:ptCount val="8"/>
                <c:pt idx="0">
                  <c:v>650000</c:v>
                </c:pt>
                <c:pt idx="1">
                  <c:v>63689500</c:v>
                </c:pt>
                <c:pt idx="2">
                  <c:v>33900000</c:v>
                </c:pt>
                <c:pt idx="3">
                  <c:v>8954631</c:v>
                </c:pt>
                <c:pt idx="4">
                  <c:v>14331113</c:v>
                </c:pt>
                <c:pt idx="5">
                  <c:v>21230201</c:v>
                </c:pt>
                <c:pt idx="6">
                  <c:v>134375000</c:v>
                </c:pt>
                <c:pt idx="7">
                  <c:v>25550000</c:v>
                </c:pt>
              </c:numCache>
            </c:numRef>
          </c:val>
          <c:extLst>
            <c:ext xmlns:c16="http://schemas.microsoft.com/office/drawing/2014/chart" uri="{C3380CC4-5D6E-409C-BE32-E72D297353CC}">
              <c16:uniqueId val="{00000000-3730-4B57-9F59-D7C087A298C2}"/>
            </c:ext>
          </c:extLst>
        </c:ser>
        <c:dLbls>
          <c:dLblPos val="outEnd"/>
          <c:showLegendKey val="0"/>
          <c:showVal val="1"/>
          <c:showCatName val="0"/>
          <c:showSerName val="0"/>
          <c:showPercent val="0"/>
          <c:showBubbleSize val="0"/>
        </c:dLbls>
        <c:gapWidth val="69"/>
        <c:overlap val="-27"/>
        <c:axId val="597500303"/>
        <c:axId val="597489487"/>
      </c:barChart>
      <c:catAx>
        <c:axId val="5975003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rgbClr val="58626C"/>
                </a:solidFill>
                <a:latin typeface="+mn-lt"/>
                <a:ea typeface="+mn-ea"/>
                <a:cs typeface="+mn-cs"/>
              </a:defRPr>
            </a:pPr>
            <a:endParaRPr lang="en-US"/>
          </a:p>
        </c:txPr>
        <c:crossAx val="597489487"/>
        <c:crosses val="autoZero"/>
        <c:auto val="1"/>
        <c:lblAlgn val="ctr"/>
        <c:lblOffset val="100"/>
        <c:noMultiLvlLbl val="0"/>
      </c:catAx>
      <c:valAx>
        <c:axId val="597489487"/>
        <c:scaling>
          <c:orientation val="minMax"/>
        </c:scaling>
        <c:delete val="1"/>
        <c:axPos val="l"/>
        <c:numFmt formatCode="[&gt;=1000000]\₦0.0,,&quot;M&quot;;[&gt;1000]\₦0.0,&quot;K&quot;;0" sourceLinked="1"/>
        <c:majorTickMark val="none"/>
        <c:minorTickMark val="none"/>
        <c:tickLblPos val="nextTo"/>
        <c:crossAx val="59750030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[D_Lite Electronics.xlsx]Sheet2!PivotTable8</c:name>
    <c:fmtId val="3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5862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2107413893753649E-2"/>
          <c:y val="0.15261044176706828"/>
          <c:w val="0.93578517221249269"/>
          <c:h val="0.69085665496632198"/>
        </c:manualLayout>
      </c:layout>
      <c:barChart>
        <c:barDir val="col"/>
        <c:grouping val="clustered"/>
        <c:varyColors val="0"/>
        <c:ser>
          <c:idx val="0"/>
          <c:order val="0"/>
          <c:tx>
            <c:strRef>
              <c:f>Sheet2!$E$30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58626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Sheet2!$D$31:$D$39</c:f>
              <c:strCache>
                <c:ptCount val="8"/>
                <c:pt idx="0">
                  <c:v>Unknown</c:v>
                </c:pt>
                <c:pt idx="1">
                  <c:v>Tv 43Q</c:v>
                </c:pt>
                <c:pt idx="2">
                  <c:v>Tablet T8</c:v>
                </c:pt>
                <c:pt idx="3">
                  <c:v>Speaker S10</c:v>
                </c:pt>
                <c:pt idx="4">
                  <c:v>Phone X12</c:v>
                </c:pt>
                <c:pt idx="5">
                  <c:v>Monitor M24</c:v>
                </c:pt>
                <c:pt idx="6">
                  <c:v>Laptop A15</c:v>
                </c:pt>
                <c:pt idx="7">
                  <c:v>Camera C100</c:v>
                </c:pt>
              </c:strCache>
            </c:strRef>
          </c:cat>
          <c:val>
            <c:numRef>
              <c:f>Sheet2!$E$31:$E$39</c:f>
              <c:numCache>
                <c:formatCode>[&gt;=1000000]\₦0.0,,"M";[&gt;1000]\₦0.0,"K";0</c:formatCode>
                <c:ptCount val="8"/>
                <c:pt idx="0">
                  <c:v>10</c:v>
                </c:pt>
                <c:pt idx="1">
                  <c:v>215</c:v>
                </c:pt>
                <c:pt idx="2">
                  <c:v>226</c:v>
                </c:pt>
                <c:pt idx="3">
                  <c:v>105</c:v>
                </c:pt>
                <c:pt idx="4">
                  <c:v>82</c:v>
                </c:pt>
                <c:pt idx="5">
                  <c:v>166</c:v>
                </c:pt>
                <c:pt idx="6">
                  <c:v>191</c:v>
                </c:pt>
                <c:pt idx="7">
                  <c:v>146</c:v>
                </c:pt>
              </c:numCache>
            </c:numRef>
          </c:val>
          <c:extLst>
            <c:ext xmlns:c16="http://schemas.microsoft.com/office/drawing/2014/chart" uri="{C3380CC4-5D6E-409C-BE32-E72D297353CC}">
              <c16:uniqueId val="{00000000-8CF0-4473-8C41-7661A2D68A4C}"/>
            </c:ext>
          </c:extLst>
        </c:ser>
        <c:dLbls>
          <c:showLegendKey val="0"/>
          <c:showVal val="0"/>
          <c:showCatName val="0"/>
          <c:showSerName val="0"/>
          <c:showPercent val="0"/>
          <c:showBubbleSize val="0"/>
        </c:dLbls>
        <c:gapWidth val="69"/>
        <c:overlap val="-27"/>
        <c:axId val="694970527"/>
        <c:axId val="694967615"/>
      </c:barChart>
      <c:catAx>
        <c:axId val="6949705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rgbClr val="58626C"/>
                </a:solidFill>
                <a:latin typeface="+mn-lt"/>
                <a:ea typeface="+mn-ea"/>
                <a:cs typeface="+mn-cs"/>
              </a:defRPr>
            </a:pPr>
            <a:endParaRPr lang="en-US"/>
          </a:p>
        </c:txPr>
        <c:crossAx val="694967615"/>
        <c:crosses val="autoZero"/>
        <c:auto val="1"/>
        <c:lblAlgn val="ctr"/>
        <c:lblOffset val="100"/>
        <c:noMultiLvlLbl val="0"/>
      </c:catAx>
      <c:valAx>
        <c:axId val="694967615"/>
        <c:scaling>
          <c:orientation val="minMax"/>
        </c:scaling>
        <c:delete val="1"/>
        <c:axPos val="l"/>
        <c:numFmt formatCode="[&gt;=1000000]\₦0.0,,&quot;M&quot;;[&gt;1000]\₦0.0,&quot;K&quot;;0" sourceLinked="1"/>
        <c:majorTickMark val="none"/>
        <c:minorTickMark val="none"/>
        <c:tickLblPos val="nextTo"/>
        <c:crossAx val="6949705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hyperlink" Target="#'Sales Analysis'!A1"/><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hyperlink" Target="https://github.com/OdeyDivine/D-Lite-Electronics" TargetMode="External"/><Relationship Id="rId5" Type="http://schemas.openxmlformats.org/officeDocument/2006/relationships/chart" Target="../charts/chart1.xml"/><Relationship Id="rId10" Type="http://schemas.openxmlformats.org/officeDocument/2006/relationships/hyperlink" Target="#'Cleaned Data'!A1"/><Relationship Id="rId4" Type="http://schemas.openxmlformats.org/officeDocument/2006/relationships/image" Target="../media/image4.png"/><Relationship Id="rId9" Type="http://schemas.openxmlformats.org/officeDocument/2006/relationships/hyperlink" Target="#'Product Analysis'!A1"/></Relationships>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Cleaned Data'!A1"/><Relationship Id="rId7" Type="http://schemas.openxmlformats.org/officeDocument/2006/relationships/image" Target="../media/image6.png"/><Relationship Id="rId2" Type="http://schemas.openxmlformats.org/officeDocument/2006/relationships/hyperlink" Target="#'Sales Analysis'!A1"/><Relationship Id="rId1" Type="http://schemas.openxmlformats.org/officeDocument/2006/relationships/image" Target="../media/image5.png"/><Relationship Id="rId6" Type="http://schemas.openxmlformats.org/officeDocument/2006/relationships/image" Target="../media/image3.png"/><Relationship Id="rId5" Type="http://schemas.openxmlformats.org/officeDocument/2006/relationships/image" Target="../media/image2.png"/><Relationship Id="rId10" Type="http://schemas.openxmlformats.org/officeDocument/2006/relationships/chart" Target="../charts/chart6.xml"/><Relationship Id="rId4" Type="http://schemas.openxmlformats.org/officeDocument/2006/relationships/hyperlink" Target="https://github.com/OdeyDivine/D-Lite-Electronics" TargetMode="Externa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25400</xdr:rowOff>
    </xdr:from>
    <xdr:to>
      <xdr:col>14</xdr:col>
      <xdr:colOff>19050</xdr:colOff>
      <xdr:row>9</xdr:row>
      <xdr:rowOff>25400</xdr:rowOff>
    </xdr:to>
    <xdr:sp macro="" textlink="">
      <xdr:nvSpPr>
        <xdr:cNvPr id="2" name="TextBox 1">
          <a:extLst>
            <a:ext uri="{FF2B5EF4-FFF2-40B4-BE49-F238E27FC236}">
              <a16:creationId xmlns:a16="http://schemas.microsoft.com/office/drawing/2014/main" id="{BEBDE3F9-747E-F89B-1A42-02FEE20405A0}"/>
            </a:ext>
          </a:extLst>
        </xdr:cNvPr>
        <xdr:cNvSpPr txBox="1"/>
      </xdr:nvSpPr>
      <xdr:spPr>
        <a:xfrm>
          <a:off x="241300" y="825500"/>
          <a:ext cx="7943850" cy="1104900"/>
        </a:xfrm>
        <a:prstGeom prst="rect">
          <a:avLst/>
        </a:prstGeom>
        <a:solidFill>
          <a:schemeClr val="lt1"/>
        </a:solidFill>
        <a:ln w="12700" cmpd="sng">
          <a:solidFill>
            <a:sysClr val="windowText" lastClr="000000"/>
          </a:solidFill>
          <a:prstDash val="sysDash"/>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D-Lite Electronics Ltd. operates across four major regions in Nigeria: North, South, East, and West. The company’s sales data is inconsistent and often contains errors. As a Data Analyst, your task is to clean, analyse, and visualise the data to support management decision-making leveraging</a:t>
          </a:r>
          <a:r>
            <a:rPr lang="en-US" sz="1600" baseline="0">
              <a:solidFill>
                <a:schemeClr val="dk1"/>
              </a:solidFill>
              <a:effectLst/>
              <a:latin typeface="+mn-lt"/>
              <a:ea typeface="+mn-ea"/>
              <a:cs typeface="+mn-cs"/>
            </a:rPr>
            <a:t> all the concepts learnt during the training</a:t>
          </a:r>
          <a:r>
            <a:rPr lang="en-US" sz="1600">
              <a:solidFill>
                <a:schemeClr val="dk1"/>
              </a:solidFill>
              <a:effectLst/>
              <a:latin typeface="+mn-lt"/>
              <a:ea typeface="+mn-ea"/>
              <a:cs typeface="+mn-cs"/>
            </a:rPr>
            <a:t>.</a:t>
          </a:r>
        </a:p>
        <a:p>
          <a:endParaRPr 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594360</xdr:colOff>
      <xdr:row>1</xdr:row>
      <xdr:rowOff>15240</xdr:rowOff>
    </xdr:from>
    <xdr:to>
      <xdr:col>22</xdr:col>
      <xdr:colOff>594360</xdr:colOff>
      <xdr:row>31</xdr:row>
      <xdr:rowOff>114300</xdr:rowOff>
    </xdr:to>
    <xdr:grpSp>
      <xdr:nvGrpSpPr>
        <xdr:cNvPr id="12" name="Group 11"/>
        <xdr:cNvGrpSpPr/>
      </xdr:nvGrpSpPr>
      <xdr:grpSpPr>
        <a:xfrm>
          <a:off x="3032760" y="198120"/>
          <a:ext cx="10972800" cy="5585460"/>
          <a:chOff x="2689860" y="182880"/>
          <a:chExt cx="10972800" cy="5585460"/>
        </a:xfrm>
      </xdr:grpSpPr>
      <xdr:grpSp>
        <xdr:nvGrpSpPr>
          <xdr:cNvPr id="21" name="Group 20"/>
          <xdr:cNvGrpSpPr/>
        </xdr:nvGrpSpPr>
        <xdr:grpSpPr>
          <a:xfrm>
            <a:off x="2689860" y="190496"/>
            <a:ext cx="10972800" cy="5577840"/>
            <a:chOff x="1965960" y="236216"/>
            <a:chExt cx="10972800" cy="5577840"/>
          </a:xfrm>
        </xdr:grpSpPr>
        <xdr:pic>
          <xdr:nvPicPr>
            <xdr:cNvPr id="2" name="Picture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65960" y="236216"/>
              <a:ext cx="10972800" cy="5577840"/>
            </a:xfrm>
            <a:prstGeom prst="rect">
              <a:avLst/>
            </a:prstGeom>
          </xdr:spPr>
        </xdr:pic>
        <xdr:sp macro="" textlink="Sheet2!F6">
          <xdr:nvSpPr>
            <xdr:cNvPr id="3" name="TextBox 2"/>
            <xdr:cNvSpPr txBox="1"/>
          </xdr:nvSpPr>
          <xdr:spPr>
            <a:xfrm>
              <a:off x="4495800" y="1203960"/>
              <a:ext cx="184404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06663D-ED91-4749-9B23-61383A3CF85E}" type="TxLink">
                <a:rPr lang="en-US" sz="2800" b="1" i="0" u="none" strike="noStrike">
                  <a:solidFill>
                    <a:srgbClr val="58626C"/>
                  </a:solidFill>
                  <a:latin typeface="Calibri"/>
                  <a:ea typeface="Calibri"/>
                  <a:cs typeface="Calibri"/>
                </a:rPr>
                <a:pPr/>
                <a:t>₦302.7M</a:t>
              </a:fld>
              <a:endParaRPr lang="en-US" sz="2800" b="1">
                <a:solidFill>
                  <a:srgbClr val="58626C"/>
                </a:solidFill>
              </a:endParaRPr>
            </a:p>
          </xdr:txBody>
        </xdr:sp>
        <xdr:pic>
          <xdr:nvPicPr>
            <xdr:cNvPr id="4"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01740" y="1203960"/>
              <a:ext cx="419100" cy="419100"/>
            </a:xfrm>
            <a:prstGeom prst="rect">
              <a:avLst/>
            </a:prstGeom>
          </xdr:spPr>
        </xdr:pic>
        <xdr:sp macro="" textlink="Sheet2!E6">
          <xdr:nvSpPr>
            <xdr:cNvPr id="5" name="TextBox 4"/>
            <xdr:cNvSpPr txBox="1"/>
          </xdr:nvSpPr>
          <xdr:spPr>
            <a:xfrm>
              <a:off x="4572000" y="1021080"/>
              <a:ext cx="18440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BF7B59D-B2FB-4EA4-B950-DBC69E5C68D9}" type="TxLink">
                <a:rPr lang="en-US" sz="1200" b="1" i="0" u="none" strike="noStrike">
                  <a:solidFill>
                    <a:srgbClr val="58626C"/>
                  </a:solidFill>
                  <a:latin typeface="Calibri"/>
                  <a:ea typeface="Calibri"/>
                  <a:cs typeface="Calibri"/>
                </a:rPr>
                <a:pPr marL="0" indent="0"/>
                <a:t>Total Revenue</a:t>
              </a:fld>
              <a:endParaRPr lang="en-US" sz="1200" b="1" i="0" u="none" strike="noStrike">
                <a:solidFill>
                  <a:srgbClr val="58626C"/>
                </a:solidFill>
                <a:latin typeface="Calibri"/>
                <a:ea typeface="Calibri"/>
                <a:cs typeface="Calibri"/>
              </a:endParaRPr>
            </a:p>
          </xdr:txBody>
        </xdr:sp>
        <xdr:sp macro="" textlink="Sheet2!E7">
          <xdr:nvSpPr>
            <xdr:cNvPr id="6" name="TextBox 5"/>
            <xdr:cNvSpPr txBox="1"/>
          </xdr:nvSpPr>
          <xdr:spPr>
            <a:xfrm>
              <a:off x="9951720" y="960120"/>
              <a:ext cx="18440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F49233E-894D-44EF-94CB-D18DAF44B64E}" type="TxLink">
                <a:rPr lang="en-US" sz="1200" b="1" i="0" u="none" strike="noStrike">
                  <a:solidFill>
                    <a:srgbClr val="58626C"/>
                  </a:solidFill>
                  <a:latin typeface="Calibri"/>
                  <a:ea typeface="Calibri"/>
                  <a:cs typeface="Calibri"/>
                </a:rPr>
                <a:pPr marL="0" indent="0"/>
                <a:t>No of Customers</a:t>
              </a:fld>
              <a:endParaRPr lang="en-US" sz="1200" b="1" i="0" u="none" strike="noStrike">
                <a:solidFill>
                  <a:srgbClr val="58626C"/>
                </a:solidFill>
                <a:latin typeface="Calibri"/>
                <a:ea typeface="Calibri"/>
                <a:cs typeface="Calibri"/>
              </a:endParaRPr>
            </a:p>
          </xdr:txBody>
        </xdr:sp>
        <xdr:sp macro="" textlink="Sheet2!E5">
          <xdr:nvSpPr>
            <xdr:cNvPr id="7" name="TextBox 6"/>
            <xdr:cNvSpPr txBox="1"/>
          </xdr:nvSpPr>
          <xdr:spPr>
            <a:xfrm>
              <a:off x="7223760" y="990600"/>
              <a:ext cx="18440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BDD99F0-22B0-4220-BF94-5E1B1AF4B07B}" type="TxLink">
                <a:rPr lang="en-US" sz="1200" b="1" i="0" u="none" strike="noStrike">
                  <a:solidFill>
                    <a:srgbClr val="58626C"/>
                  </a:solidFill>
                  <a:latin typeface="Calibri"/>
                  <a:ea typeface="Calibri"/>
                  <a:cs typeface="Calibri"/>
                </a:rPr>
                <a:pPr marL="0" indent="0"/>
                <a:t>Total Quantity Sold</a:t>
              </a:fld>
              <a:endParaRPr lang="en-US" sz="1200" b="1" i="0" u="none" strike="noStrike">
                <a:solidFill>
                  <a:srgbClr val="58626C"/>
                </a:solidFill>
                <a:latin typeface="Calibri"/>
                <a:ea typeface="Calibri"/>
                <a:cs typeface="Calibri"/>
              </a:endParaRPr>
            </a:p>
          </xdr:txBody>
        </xdr:sp>
        <xdr:sp macro="" textlink="Sheet2!F5">
          <xdr:nvSpPr>
            <xdr:cNvPr id="8" name="TextBox 7"/>
            <xdr:cNvSpPr txBox="1"/>
          </xdr:nvSpPr>
          <xdr:spPr>
            <a:xfrm>
              <a:off x="7444740" y="1158240"/>
              <a:ext cx="184404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8CAB900-4ACB-467F-998B-CE0622FDA955}" type="TxLink">
                <a:rPr lang="en-US" sz="2800" b="1" i="0" u="none" strike="noStrike">
                  <a:solidFill>
                    <a:srgbClr val="58626C"/>
                  </a:solidFill>
                  <a:latin typeface="Calibri"/>
                  <a:ea typeface="Calibri"/>
                  <a:cs typeface="Calibri"/>
                </a:rPr>
                <a:pPr marL="0" indent="0"/>
                <a:t>1141</a:t>
              </a:fld>
              <a:endParaRPr lang="en-US" sz="2800" b="1" i="0" u="none" strike="noStrike">
                <a:solidFill>
                  <a:srgbClr val="58626C"/>
                </a:solidFill>
                <a:latin typeface="Calibri"/>
                <a:ea typeface="Calibri"/>
                <a:cs typeface="Calibri"/>
              </a:endParaRPr>
            </a:p>
          </xdr:txBody>
        </xdr:sp>
        <xdr:sp macro="" textlink="Sheet2!F7">
          <xdr:nvSpPr>
            <xdr:cNvPr id="9" name="TextBox 8"/>
            <xdr:cNvSpPr txBox="1"/>
          </xdr:nvSpPr>
          <xdr:spPr>
            <a:xfrm>
              <a:off x="10271760" y="1150620"/>
              <a:ext cx="184404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EE5265E-CC07-49B0-8333-0337E7363D28}" type="TxLink">
                <a:rPr lang="en-US" sz="2800" b="1" i="0" u="none" strike="noStrike">
                  <a:solidFill>
                    <a:srgbClr val="58626C"/>
                  </a:solidFill>
                  <a:latin typeface="Calibri"/>
                  <a:ea typeface="Calibri"/>
                  <a:cs typeface="Calibri"/>
                </a:rPr>
                <a:pPr marL="0" indent="0"/>
                <a:t>14</a:t>
              </a:fld>
              <a:endParaRPr lang="en-US" sz="2800" b="1" i="0" u="none" strike="noStrike">
                <a:solidFill>
                  <a:srgbClr val="58626C"/>
                </a:solidFill>
                <a:latin typeface="Calibri"/>
                <a:ea typeface="Calibri"/>
                <a:cs typeface="Calibri"/>
              </a:endParaRPr>
            </a:p>
          </xdr:txBody>
        </xdr:sp>
        <xdr:pic>
          <xdr:nvPicPr>
            <xdr:cNvPr id="10" name="Picture 9"/>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755381" y="1101111"/>
              <a:ext cx="594360" cy="594360"/>
            </a:xfrm>
            <a:prstGeom prst="rect">
              <a:avLst/>
            </a:prstGeom>
          </xdr:spPr>
        </xdr:pic>
        <xdr:pic>
          <xdr:nvPicPr>
            <xdr:cNvPr id="11" name="Picture 10"/>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407141" y="1074421"/>
              <a:ext cx="624839" cy="624839"/>
            </a:xfrm>
            <a:prstGeom prst="rect">
              <a:avLst/>
            </a:prstGeom>
          </xdr:spPr>
        </xdr:pic>
        <xdr:graphicFrame macro="">
          <xdr:nvGraphicFramePr>
            <xdr:cNvPr id="13" name="Chart 12"/>
            <xdr:cNvGraphicFramePr>
              <a:graphicFrameLocks/>
            </xdr:cNvGraphicFramePr>
          </xdr:nvGraphicFramePr>
          <xdr:xfrm>
            <a:off x="4221480" y="2141220"/>
            <a:ext cx="4030980" cy="169164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5" name="Chart 14"/>
            <xdr:cNvGraphicFramePr>
              <a:graphicFrameLocks/>
            </xdr:cNvGraphicFramePr>
          </xdr:nvGraphicFramePr>
          <xdr:xfrm>
            <a:off x="4282440" y="3985260"/>
            <a:ext cx="3947160" cy="14097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6" name="TextBox 15"/>
            <xdr:cNvSpPr txBox="1"/>
          </xdr:nvSpPr>
          <xdr:spPr>
            <a:xfrm>
              <a:off x="4229100" y="1905000"/>
              <a:ext cx="15163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solidFill>
                  <a:latin typeface="Times New Roman" panose="02020603050405020304" pitchFamily="18" charset="0"/>
                  <a:cs typeface="Times New Roman" panose="02020603050405020304" pitchFamily="18" charset="0"/>
                </a:rPr>
                <a:t>Monthly Revenue</a:t>
              </a:r>
            </a:p>
          </xdr:txBody>
        </xdr:sp>
        <xdr:sp macro="" textlink="">
          <xdr:nvSpPr>
            <xdr:cNvPr id="17" name="TextBox 16"/>
            <xdr:cNvSpPr txBox="1"/>
          </xdr:nvSpPr>
          <xdr:spPr>
            <a:xfrm>
              <a:off x="4213860" y="3840480"/>
              <a:ext cx="18364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solidFill>
                  <a:latin typeface="Times New Roman" panose="02020603050405020304" pitchFamily="18" charset="0"/>
                  <a:cs typeface="Times New Roman" panose="02020603050405020304" pitchFamily="18" charset="0"/>
                </a:rPr>
                <a:t>Total Quantity</a:t>
              </a:r>
              <a:r>
                <a:rPr lang="en-US" sz="1000" baseline="0">
                  <a:solidFill>
                    <a:schemeClr val="bg2"/>
                  </a:solidFill>
                  <a:latin typeface="Times New Roman" panose="02020603050405020304" pitchFamily="18" charset="0"/>
                  <a:cs typeface="Times New Roman" panose="02020603050405020304" pitchFamily="18" charset="0"/>
                </a:rPr>
                <a:t> Sold Per Month</a:t>
              </a:r>
              <a:endParaRPr lang="en-US" sz="1000">
                <a:solidFill>
                  <a:schemeClr val="bg2"/>
                </a:solidFill>
                <a:latin typeface="Times New Roman" panose="02020603050405020304" pitchFamily="18" charset="0"/>
                <a:cs typeface="Times New Roman" panose="02020603050405020304" pitchFamily="18" charset="0"/>
              </a:endParaRPr>
            </a:p>
          </xdr:txBody>
        </xdr:sp>
        <xdr:graphicFrame macro="">
          <xdr:nvGraphicFramePr>
            <xdr:cNvPr id="18" name="Chart 17"/>
            <xdr:cNvGraphicFramePr>
              <a:graphicFrameLocks/>
            </xdr:cNvGraphicFramePr>
          </xdr:nvGraphicFramePr>
          <xdr:xfrm>
            <a:off x="8442960" y="2186940"/>
            <a:ext cx="3901440" cy="319278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9" name="TextBox 18"/>
            <xdr:cNvSpPr txBox="1"/>
          </xdr:nvSpPr>
          <xdr:spPr>
            <a:xfrm>
              <a:off x="8458200" y="1996440"/>
              <a:ext cx="17907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solidFill>
                  <a:latin typeface="Times New Roman" panose="02020603050405020304" pitchFamily="18" charset="0"/>
                  <a:cs typeface="Times New Roman" panose="02020603050405020304" pitchFamily="18" charset="0"/>
                </a:rPr>
                <a:t>Regional</a:t>
              </a:r>
              <a:r>
                <a:rPr lang="en-US" sz="1000" baseline="0">
                  <a:solidFill>
                    <a:schemeClr val="bg2"/>
                  </a:solidFill>
                  <a:latin typeface="Times New Roman" panose="02020603050405020304" pitchFamily="18" charset="0"/>
                  <a:cs typeface="Times New Roman" panose="02020603050405020304" pitchFamily="18" charset="0"/>
                </a:rPr>
                <a:t> Revenue vs Qty Sold</a:t>
              </a:r>
              <a:endParaRPr lang="en-US" sz="1000">
                <a:solidFill>
                  <a:schemeClr val="bg2"/>
                </a:solidFill>
                <a:latin typeface="Times New Roman" panose="02020603050405020304" pitchFamily="18" charset="0"/>
                <a:cs typeface="Times New Roman" panose="02020603050405020304" pitchFamily="18" charset="0"/>
              </a:endParaRPr>
            </a:p>
          </xdr:txBody>
        </xdr:sp>
        <xdr:sp macro="" textlink="">
          <xdr:nvSpPr>
            <xdr:cNvPr id="20" name="TextBox 19">
              <a:hlinkClick xmlns:r="http://schemas.openxmlformats.org/officeDocument/2006/relationships" r:id="rId8"/>
            </xdr:cNvPr>
            <xdr:cNvSpPr txBox="1"/>
          </xdr:nvSpPr>
          <xdr:spPr>
            <a:xfrm>
              <a:off x="2194560" y="1706880"/>
              <a:ext cx="15163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Times New Roman" panose="02020603050405020304" pitchFamily="18" charset="0"/>
                  <a:cs typeface="Times New Roman" panose="02020603050405020304" pitchFamily="18" charset="0"/>
                </a:rPr>
                <a:t>Sales Analysis</a:t>
              </a:r>
            </a:p>
          </xdr:txBody>
        </xdr:sp>
      </xdr:grpSp>
      <xdr:sp macro="" textlink="">
        <xdr:nvSpPr>
          <xdr:cNvPr id="22" name="TextBox 21">
            <a:hlinkClick xmlns:r="http://schemas.openxmlformats.org/officeDocument/2006/relationships" r:id="rId9"/>
          </xdr:cNvPr>
          <xdr:cNvSpPr txBox="1"/>
        </xdr:nvSpPr>
        <xdr:spPr>
          <a:xfrm>
            <a:off x="2796540" y="2110736"/>
            <a:ext cx="17145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2"/>
                </a:solidFill>
                <a:latin typeface="Times New Roman" panose="02020603050405020304" pitchFamily="18" charset="0"/>
                <a:cs typeface="Times New Roman" panose="02020603050405020304" pitchFamily="18" charset="0"/>
              </a:rPr>
              <a:t>Product Analysis</a:t>
            </a:r>
          </a:p>
        </xdr:txBody>
      </xdr:sp>
      <xdr:sp macro="" textlink="">
        <xdr:nvSpPr>
          <xdr:cNvPr id="23" name="TextBox 22">
            <a:hlinkClick xmlns:r="http://schemas.openxmlformats.org/officeDocument/2006/relationships" r:id="rId10"/>
          </xdr:cNvPr>
          <xdr:cNvSpPr txBox="1"/>
        </xdr:nvSpPr>
        <xdr:spPr>
          <a:xfrm>
            <a:off x="2903220" y="2560316"/>
            <a:ext cx="15011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2"/>
                </a:solidFill>
                <a:latin typeface="Times New Roman" panose="02020603050405020304" pitchFamily="18" charset="0"/>
                <a:cs typeface="Times New Roman" panose="02020603050405020304" pitchFamily="18" charset="0"/>
              </a:rPr>
              <a:t>Cleaned Data</a:t>
            </a:r>
          </a:p>
        </xdr:txBody>
      </xdr:sp>
      <xdr:sp macro="" textlink="">
        <xdr:nvSpPr>
          <xdr:cNvPr id="24" name="TextBox 23">
            <a:hlinkClick xmlns:r="http://schemas.openxmlformats.org/officeDocument/2006/relationships" r:id="rId11"/>
          </xdr:cNvPr>
          <xdr:cNvSpPr txBox="1"/>
        </xdr:nvSpPr>
        <xdr:spPr>
          <a:xfrm>
            <a:off x="3116580" y="3025136"/>
            <a:ext cx="15011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2"/>
                </a:solidFill>
                <a:latin typeface="Times New Roman" panose="02020603050405020304" pitchFamily="18" charset="0"/>
                <a:cs typeface="Times New Roman" panose="02020603050405020304" pitchFamily="18" charset="0"/>
              </a:rPr>
              <a:t>Insights</a:t>
            </a:r>
          </a:p>
        </xdr:txBody>
      </xdr:sp>
      <mc:AlternateContent xmlns:mc="http://schemas.openxmlformats.org/markup-compatibility/2006">
        <mc:Choice xmlns:a14="http://schemas.microsoft.com/office/drawing/2010/main" Requires="a14">
          <xdr:graphicFrame macro="">
            <xdr:nvGraphicFramePr>
              <xdr:cNvPr id="25" name="Date (Month)"/>
              <xdr:cNvGraphicFramePr/>
            </xdr:nvGraphicFramePr>
            <xdr:xfrm>
              <a:off x="9944100" y="312420"/>
              <a:ext cx="3606168" cy="45720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0287000" y="327660"/>
                <a:ext cx="3606168"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xnSp macro="">
        <xdr:nvCxnSpPr>
          <xdr:cNvPr id="14" name="Straight Connector 13"/>
          <xdr:cNvCxnSpPr/>
        </xdr:nvCxnSpPr>
        <xdr:spPr>
          <a:xfrm flipH="1">
            <a:off x="4572000" y="182880"/>
            <a:ext cx="22860" cy="5585460"/>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mc:AlternateContent xmlns:mc="http://schemas.openxmlformats.org/markup-compatibility/2006">
        <mc:Choice xmlns:a14="http://schemas.microsoft.com/office/drawing/2010/main" Requires="a14">
          <xdr:graphicFrame macro="">
            <xdr:nvGraphicFramePr>
              <xdr:cNvPr id="27" name="Product"/>
              <xdr:cNvGraphicFramePr/>
            </xdr:nvGraphicFramePr>
            <xdr:xfrm>
              <a:off x="5196840" y="5364480"/>
              <a:ext cx="7879080" cy="40386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539740" y="5379720"/>
                <a:ext cx="7879080" cy="403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106680</xdr:colOff>
      <xdr:row>0</xdr:row>
      <xdr:rowOff>167640</xdr:rowOff>
    </xdr:from>
    <xdr:to>
      <xdr:col>21</xdr:col>
      <xdr:colOff>144780</xdr:colOff>
      <xdr:row>31</xdr:row>
      <xdr:rowOff>160020</xdr:rowOff>
    </xdr:to>
    <xdr:grpSp>
      <xdr:nvGrpSpPr>
        <xdr:cNvPr id="2" name="Group 1"/>
        <xdr:cNvGrpSpPr/>
      </xdr:nvGrpSpPr>
      <xdr:grpSpPr>
        <a:xfrm>
          <a:off x="1935480" y="167640"/>
          <a:ext cx="11010900" cy="5661660"/>
          <a:chOff x="1905000" y="167640"/>
          <a:chExt cx="11010900" cy="5661660"/>
        </a:xfrm>
      </xdr:grpSpPr>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00" y="167640"/>
            <a:ext cx="11010900" cy="5657850"/>
          </a:xfrm>
          <a:prstGeom prst="rect">
            <a:avLst/>
          </a:prstGeom>
        </xdr:spPr>
      </xdr:pic>
      <xdr:sp macro="" textlink="">
        <xdr:nvSpPr>
          <xdr:cNvPr id="4" name="TextBox 3"/>
          <xdr:cNvSpPr txBox="1"/>
        </xdr:nvSpPr>
        <xdr:spPr>
          <a:xfrm>
            <a:off x="2004060" y="2125980"/>
            <a:ext cx="17145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Times New Roman" panose="02020603050405020304" pitchFamily="18" charset="0"/>
                <a:cs typeface="Times New Roman" panose="02020603050405020304" pitchFamily="18" charset="0"/>
              </a:rPr>
              <a:t>Product Analysis</a:t>
            </a:r>
          </a:p>
        </xdr:txBody>
      </xdr:sp>
      <xdr:sp macro="" textlink="">
        <xdr:nvSpPr>
          <xdr:cNvPr id="5" name="TextBox 4">
            <a:hlinkClick xmlns:r="http://schemas.openxmlformats.org/officeDocument/2006/relationships" r:id="rId2"/>
          </xdr:cNvPr>
          <xdr:cNvSpPr txBox="1"/>
        </xdr:nvSpPr>
        <xdr:spPr>
          <a:xfrm>
            <a:off x="2095500" y="1668780"/>
            <a:ext cx="15011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2"/>
                </a:solidFill>
                <a:latin typeface="Times New Roman" panose="02020603050405020304" pitchFamily="18" charset="0"/>
                <a:cs typeface="Times New Roman" panose="02020603050405020304" pitchFamily="18" charset="0"/>
              </a:rPr>
              <a:t>Sales Analysis</a:t>
            </a:r>
          </a:p>
        </xdr:txBody>
      </xdr:sp>
      <xdr:sp macro="" textlink="">
        <xdr:nvSpPr>
          <xdr:cNvPr id="6" name="TextBox 5">
            <a:hlinkClick xmlns:r="http://schemas.openxmlformats.org/officeDocument/2006/relationships" r:id="rId3"/>
          </xdr:cNvPr>
          <xdr:cNvSpPr txBox="1"/>
        </xdr:nvSpPr>
        <xdr:spPr>
          <a:xfrm>
            <a:off x="2125980" y="2583180"/>
            <a:ext cx="15011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2"/>
                </a:solidFill>
                <a:latin typeface="Times New Roman" panose="02020603050405020304" pitchFamily="18" charset="0"/>
                <a:cs typeface="Times New Roman" panose="02020603050405020304" pitchFamily="18" charset="0"/>
              </a:rPr>
              <a:t>Cleaned Data</a:t>
            </a:r>
          </a:p>
        </xdr:txBody>
      </xdr:sp>
      <xdr:sp macro="" textlink="">
        <xdr:nvSpPr>
          <xdr:cNvPr id="7" name="TextBox 6">
            <a:hlinkClick xmlns:r="http://schemas.openxmlformats.org/officeDocument/2006/relationships" r:id="rId4"/>
          </xdr:cNvPr>
          <xdr:cNvSpPr txBox="1"/>
        </xdr:nvSpPr>
        <xdr:spPr>
          <a:xfrm>
            <a:off x="2339340" y="3048000"/>
            <a:ext cx="15011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2"/>
                </a:solidFill>
                <a:latin typeface="Times New Roman" panose="02020603050405020304" pitchFamily="18" charset="0"/>
                <a:cs typeface="Times New Roman" panose="02020603050405020304" pitchFamily="18" charset="0"/>
              </a:rPr>
              <a:t>Insights</a:t>
            </a:r>
          </a:p>
        </xdr:txBody>
      </xdr:sp>
      <xdr:sp macro="" textlink="Sheet2!F4">
        <xdr:nvSpPr>
          <xdr:cNvPr id="8" name="TextBox 7"/>
          <xdr:cNvSpPr txBox="1"/>
        </xdr:nvSpPr>
        <xdr:spPr>
          <a:xfrm>
            <a:off x="4450080" y="1150620"/>
            <a:ext cx="184404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F65871-8736-44AF-86E9-D4884D2D7058}" type="TxLink">
              <a:rPr lang="en-US" sz="2800" b="1" i="0" u="none" strike="noStrike">
                <a:solidFill>
                  <a:srgbClr val="58626C"/>
                </a:solidFill>
                <a:latin typeface="Calibri"/>
                <a:ea typeface="Calibri"/>
                <a:cs typeface="Calibri"/>
              </a:rPr>
              <a:pPr/>
              <a:t>₦248.2K</a:t>
            </a:fld>
            <a:endParaRPr lang="en-US" sz="2800" b="1" i="0" u="none" strike="noStrike">
              <a:solidFill>
                <a:srgbClr val="58626C"/>
              </a:solidFill>
              <a:latin typeface="Calibri"/>
              <a:ea typeface="Calibri"/>
              <a:cs typeface="Calibri"/>
            </a:endParaRPr>
          </a:p>
        </xdr:txBody>
      </xdr:sp>
      <xdr:sp macro="" textlink="Sheet2!E4">
        <xdr:nvSpPr>
          <xdr:cNvPr id="9" name="TextBox 8"/>
          <xdr:cNvSpPr txBox="1"/>
        </xdr:nvSpPr>
        <xdr:spPr>
          <a:xfrm>
            <a:off x="4526280" y="967740"/>
            <a:ext cx="18440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A458939-4DA2-4675-AECB-D5D03A2603A7}" type="TxLink">
              <a:rPr lang="en-US" sz="1200" b="1" i="0" u="none" strike="noStrike">
                <a:solidFill>
                  <a:srgbClr val="58626C"/>
                </a:solidFill>
                <a:latin typeface="Calibri"/>
                <a:ea typeface="Calibri"/>
                <a:cs typeface="Calibri"/>
              </a:rPr>
              <a:pPr marL="0" indent="0"/>
              <a:t>Avg Price</a:t>
            </a:fld>
            <a:endParaRPr lang="en-US" sz="1200" b="1" i="0" u="none" strike="noStrike">
              <a:solidFill>
                <a:srgbClr val="58626C"/>
              </a:solidFill>
              <a:latin typeface="Calibri"/>
              <a:ea typeface="Calibri"/>
              <a:cs typeface="Calibri"/>
            </a:endParaRPr>
          </a:p>
        </xdr:txBody>
      </xdr:sp>
      <xdr:sp macro="" textlink="Sheet2!F6">
        <xdr:nvSpPr>
          <xdr:cNvPr id="10" name="TextBox 9"/>
          <xdr:cNvSpPr txBox="1"/>
        </xdr:nvSpPr>
        <xdr:spPr>
          <a:xfrm>
            <a:off x="7109460" y="1150620"/>
            <a:ext cx="184404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06663D-ED91-4749-9B23-61383A3CF85E}" type="TxLink">
              <a:rPr lang="en-US" sz="2800" b="1" i="0" u="none" strike="noStrike">
                <a:solidFill>
                  <a:srgbClr val="58626C"/>
                </a:solidFill>
                <a:latin typeface="Calibri"/>
                <a:ea typeface="Calibri"/>
                <a:cs typeface="Calibri"/>
              </a:rPr>
              <a:pPr/>
              <a:t>₦302.7M</a:t>
            </a:fld>
            <a:endParaRPr lang="en-US" sz="2800" b="1">
              <a:solidFill>
                <a:srgbClr val="58626C"/>
              </a:solidFill>
            </a:endParaRPr>
          </a:p>
        </xdr:txBody>
      </xdr:sp>
      <xdr:pic>
        <xdr:nvPicPr>
          <xdr:cNvPr id="11" name="Picture 10"/>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15400" y="1150620"/>
            <a:ext cx="419100" cy="419100"/>
          </a:xfrm>
          <a:prstGeom prst="rect">
            <a:avLst/>
          </a:prstGeom>
        </xdr:spPr>
      </xdr:pic>
      <xdr:sp macro="" textlink="Sheet2!E6">
        <xdr:nvSpPr>
          <xdr:cNvPr id="12" name="TextBox 11"/>
          <xdr:cNvSpPr txBox="1"/>
        </xdr:nvSpPr>
        <xdr:spPr>
          <a:xfrm>
            <a:off x="7185660" y="967740"/>
            <a:ext cx="18440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BF7B59D-B2FB-4EA4-B950-DBC69E5C68D9}" type="TxLink">
              <a:rPr lang="en-US" sz="1200" b="1" i="0" u="none" strike="noStrike">
                <a:solidFill>
                  <a:srgbClr val="58626C"/>
                </a:solidFill>
                <a:latin typeface="Calibri"/>
                <a:ea typeface="Calibri"/>
                <a:cs typeface="Calibri"/>
              </a:rPr>
              <a:pPr marL="0" indent="0"/>
              <a:t>Total Revenue</a:t>
            </a:fld>
            <a:endParaRPr lang="en-US" sz="1200" b="1" i="0" u="none" strike="noStrike">
              <a:solidFill>
                <a:srgbClr val="58626C"/>
              </a:solidFill>
              <a:latin typeface="Calibri"/>
              <a:ea typeface="Calibri"/>
              <a:cs typeface="Calibri"/>
            </a:endParaRPr>
          </a:p>
        </xdr:txBody>
      </xdr:sp>
      <xdr:sp macro="" textlink="Sheet2!E5">
        <xdr:nvSpPr>
          <xdr:cNvPr id="13" name="TextBox 12"/>
          <xdr:cNvSpPr txBox="1"/>
        </xdr:nvSpPr>
        <xdr:spPr>
          <a:xfrm>
            <a:off x="9875520" y="990600"/>
            <a:ext cx="18440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BDD99F0-22B0-4220-BF94-5E1B1AF4B07B}" type="TxLink">
              <a:rPr lang="en-US" sz="1200" b="1" i="0" u="none" strike="noStrike">
                <a:solidFill>
                  <a:srgbClr val="58626C"/>
                </a:solidFill>
                <a:latin typeface="Calibri"/>
                <a:ea typeface="Calibri"/>
                <a:cs typeface="Calibri"/>
              </a:rPr>
              <a:pPr marL="0" indent="0"/>
              <a:t>Total Quantity Sold</a:t>
            </a:fld>
            <a:endParaRPr lang="en-US" sz="1200" b="1" i="0" u="none" strike="noStrike">
              <a:solidFill>
                <a:srgbClr val="58626C"/>
              </a:solidFill>
              <a:latin typeface="Calibri"/>
              <a:ea typeface="Calibri"/>
              <a:cs typeface="Calibri"/>
            </a:endParaRPr>
          </a:p>
        </xdr:txBody>
      </xdr:sp>
      <xdr:sp macro="" textlink="Sheet2!F5">
        <xdr:nvSpPr>
          <xdr:cNvPr id="14" name="TextBox 13"/>
          <xdr:cNvSpPr txBox="1"/>
        </xdr:nvSpPr>
        <xdr:spPr>
          <a:xfrm>
            <a:off x="10096500" y="1158240"/>
            <a:ext cx="184404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8CAB900-4ACB-467F-998B-CE0622FDA955}" type="TxLink">
              <a:rPr lang="en-US" sz="2800" b="1" i="0" u="none" strike="noStrike">
                <a:solidFill>
                  <a:srgbClr val="58626C"/>
                </a:solidFill>
                <a:latin typeface="Calibri"/>
                <a:ea typeface="Calibri"/>
                <a:cs typeface="Calibri"/>
              </a:rPr>
              <a:pPr marL="0" indent="0"/>
              <a:t>1141</a:t>
            </a:fld>
            <a:endParaRPr lang="en-US" sz="2800" b="1" i="0" u="none" strike="noStrike">
              <a:solidFill>
                <a:srgbClr val="58626C"/>
              </a:solidFill>
              <a:latin typeface="Calibri"/>
              <a:ea typeface="Calibri"/>
              <a:cs typeface="Calibri"/>
            </a:endParaRPr>
          </a:p>
        </xdr:txBody>
      </xdr:sp>
      <xdr:pic>
        <xdr:nvPicPr>
          <xdr:cNvPr id="15" name="Picture 14"/>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407141" y="1101111"/>
            <a:ext cx="594360" cy="594360"/>
          </a:xfrm>
          <a:prstGeom prst="rect">
            <a:avLst/>
          </a:prstGeom>
        </xdr:spPr>
      </xdr:pic>
      <xdr:pic>
        <xdr:nvPicPr>
          <xdr:cNvPr id="16" name="Picture 15"/>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057900" y="1028700"/>
            <a:ext cx="571500" cy="571500"/>
          </a:xfrm>
          <a:prstGeom prst="rect">
            <a:avLst/>
          </a:prstGeom>
        </xdr:spPr>
      </xdr:pic>
      <xdr:graphicFrame macro="">
        <xdr:nvGraphicFramePr>
          <xdr:cNvPr id="17" name="Chart 16"/>
          <xdr:cNvGraphicFramePr>
            <a:graphicFrameLocks/>
          </xdr:cNvGraphicFramePr>
        </xdr:nvGraphicFramePr>
        <xdr:xfrm>
          <a:off x="4191000" y="1965960"/>
          <a:ext cx="4000500" cy="355092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20" name="TextBox 19"/>
          <xdr:cNvSpPr txBox="1"/>
        </xdr:nvSpPr>
        <xdr:spPr>
          <a:xfrm>
            <a:off x="4175760" y="1889760"/>
            <a:ext cx="19050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solidFill>
                <a:latin typeface="Times New Roman" panose="02020603050405020304" pitchFamily="18" charset="0"/>
                <a:cs typeface="Times New Roman" panose="02020603050405020304" pitchFamily="18" charset="0"/>
              </a:rPr>
              <a:t>Customer</a:t>
            </a:r>
            <a:r>
              <a:rPr lang="en-US" sz="1000" baseline="0">
                <a:solidFill>
                  <a:schemeClr val="bg2"/>
                </a:solidFill>
                <a:latin typeface="Times New Roman" panose="02020603050405020304" pitchFamily="18" charset="0"/>
                <a:cs typeface="Times New Roman" panose="02020603050405020304" pitchFamily="18" charset="0"/>
              </a:rPr>
              <a:t> Revenue Contribution</a:t>
            </a:r>
            <a:endParaRPr lang="en-US" sz="1000">
              <a:solidFill>
                <a:schemeClr val="bg2"/>
              </a:solidFill>
              <a:latin typeface="Times New Roman" panose="02020603050405020304" pitchFamily="18" charset="0"/>
              <a:cs typeface="Times New Roman" panose="02020603050405020304" pitchFamily="18" charset="0"/>
            </a:endParaRPr>
          </a:p>
        </xdr:txBody>
      </xdr:sp>
      <xdr:graphicFrame macro="">
        <xdr:nvGraphicFramePr>
          <xdr:cNvPr id="21" name="Chart 20"/>
          <xdr:cNvGraphicFramePr>
            <a:graphicFrameLocks/>
          </xdr:cNvGraphicFramePr>
        </xdr:nvGraphicFramePr>
        <xdr:xfrm>
          <a:off x="8389620" y="1775460"/>
          <a:ext cx="4328160" cy="208026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22" name="TextBox 21"/>
          <xdr:cNvSpPr txBox="1"/>
        </xdr:nvSpPr>
        <xdr:spPr>
          <a:xfrm>
            <a:off x="8420100" y="1920240"/>
            <a:ext cx="19050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solidFill>
                <a:latin typeface="Times New Roman" panose="02020603050405020304" pitchFamily="18" charset="0"/>
                <a:cs typeface="Times New Roman" panose="02020603050405020304" pitchFamily="18" charset="0"/>
              </a:rPr>
              <a:t>Revenue</a:t>
            </a:r>
            <a:r>
              <a:rPr lang="en-US" sz="1000" baseline="0">
                <a:solidFill>
                  <a:schemeClr val="bg2"/>
                </a:solidFill>
                <a:latin typeface="Times New Roman" panose="02020603050405020304" pitchFamily="18" charset="0"/>
                <a:cs typeface="Times New Roman" panose="02020603050405020304" pitchFamily="18" charset="0"/>
              </a:rPr>
              <a:t> by Product</a:t>
            </a:r>
            <a:endParaRPr lang="en-US" sz="1000">
              <a:solidFill>
                <a:schemeClr val="bg2"/>
              </a:solidFill>
              <a:latin typeface="Times New Roman" panose="02020603050405020304" pitchFamily="18" charset="0"/>
              <a:cs typeface="Times New Roman" panose="02020603050405020304" pitchFamily="18" charset="0"/>
            </a:endParaRPr>
          </a:p>
        </xdr:txBody>
      </xdr:sp>
      <xdr:graphicFrame macro="">
        <xdr:nvGraphicFramePr>
          <xdr:cNvPr id="24" name="Chart 23"/>
          <xdr:cNvGraphicFramePr>
            <a:graphicFrameLocks/>
          </xdr:cNvGraphicFramePr>
        </xdr:nvGraphicFramePr>
        <xdr:xfrm>
          <a:off x="8298180" y="3848100"/>
          <a:ext cx="4351020" cy="158115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25" name="TextBox 24"/>
          <xdr:cNvSpPr txBox="1"/>
        </xdr:nvSpPr>
        <xdr:spPr>
          <a:xfrm>
            <a:off x="8435340" y="3825240"/>
            <a:ext cx="19050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aseline="0">
                <a:solidFill>
                  <a:schemeClr val="bg2"/>
                </a:solidFill>
                <a:latin typeface="Times New Roman" panose="02020603050405020304" pitchFamily="18" charset="0"/>
                <a:cs typeface="Times New Roman" panose="02020603050405020304" pitchFamily="18" charset="0"/>
              </a:rPr>
              <a:t>Qty Sold by Product</a:t>
            </a:r>
            <a:endParaRPr lang="en-US" sz="1000">
              <a:solidFill>
                <a:schemeClr val="bg2"/>
              </a:solidFill>
              <a:latin typeface="Times New Roman" panose="02020603050405020304" pitchFamily="18" charset="0"/>
              <a:cs typeface="Times New Roman" panose="02020603050405020304" pitchFamily="18" charset="0"/>
            </a:endParaRPr>
          </a:p>
        </xdr:txBody>
      </xdr:sp>
      <mc:AlternateContent xmlns:mc="http://schemas.openxmlformats.org/markup-compatibility/2006">
        <mc:Choice xmlns:a14="http://schemas.microsoft.com/office/drawing/2010/main" Requires="a14">
          <xdr:graphicFrame macro="">
            <xdr:nvGraphicFramePr>
              <xdr:cNvPr id="26" name="Date (Month) 1"/>
              <xdr:cNvGraphicFramePr/>
            </xdr:nvGraphicFramePr>
            <xdr:xfrm>
              <a:off x="9166860" y="304800"/>
              <a:ext cx="3558540" cy="50292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9197340" y="304800"/>
                <a:ext cx="3558540" cy="502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8" name="Category"/>
              <xdr:cNvGraphicFramePr/>
            </xdr:nvGraphicFramePr>
            <xdr:xfrm>
              <a:off x="4320540" y="5410200"/>
              <a:ext cx="7995288" cy="41910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351020" y="5410200"/>
                <a:ext cx="7995288"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dmin" refreshedDate="46036.674685763886" backgroundQuery="1" createdVersion="6" refreshedVersion="6" minRefreshableVersion="3" recordCount="0" supportSubquery="1" supportAdvancedDrill="1">
  <cacheSource type="external" connectionId="1"/>
  <cacheFields count="4">
    <cacheField name="[Measures].[Sum of Revenue]" caption="Sum of Revenue" numFmtId="0" hierarchy="20" level="32767"/>
    <cacheField name="[Table3].[Customer].[Customer]" caption="Customer" numFmtId="0" hierarchy="2" level="1">
      <sharedItems count="14">
        <s v="Adewale Stores"/>
        <s v="Alpha Retailers"/>
        <s v="Bright Solutions"/>
        <s v="Chika Mart"/>
        <s v="Emeka Traders"/>
        <s v="Femi Tech"/>
        <s v="Jide Superstores"/>
        <s v="Kelvin Tech"/>
        <s v="Maryam Ltd"/>
        <s v="Musa Enterprises"/>
        <s v="Omega Wholesale"/>
        <s v="Tola Ventures"/>
        <s v="Tope &amp; Sons"/>
        <s v="Zainab Global"/>
      </sharedItems>
    </cacheField>
    <cacheField name="[Measures].[Sum of Units Sold]" caption="Sum of Units Sold" numFmtId="0" hierarchy="16" level="32767"/>
    <cacheField name="[Table3].[Product].[Product]" caption="Product" numFmtId="0" hierarchy="7" level="1">
      <sharedItems count="8">
        <s v="Camera C100"/>
        <s v="Laptop A15"/>
        <s v="Monitor M24"/>
        <s v="Phone X12"/>
        <s v="Speaker S10"/>
        <s v="Tablet T8"/>
        <s v="Tv 43Q"/>
        <s v="Unknown"/>
      </sharedItems>
    </cacheField>
  </cacheFields>
  <cacheHierarchies count="22">
    <cacheHierarchy uniqueName="[Table3].[Category]" caption="Category" attribute="1" defaultMemberUniqueName="[Table3].[Category].[All]" allUniqueName="[Table3].[Category].[All]" dimensionUniqueName="[Table3]" displayFolder="" count="2" memberValueDatatype="130" unbalanced="0"/>
    <cacheHierarchy uniqueName="[Table3].[Column1]" caption="Column1" attribute="1" defaultMemberUniqueName="[Table3].[Column1].[All]" allUniqueName="[Table3].[Column1].[All]" dimensionUniqueName="[Table3]" displayFolder="" count="0" memberValueDatatype="20" unbalanced="0"/>
    <cacheHierarchy uniqueName="[Table3].[Customer]" caption="Customer" attribute="1" defaultMemberUniqueName="[Table3].[Customer].[All]" allUniqueName="[Table3].[Customer].[All]" dimensionUniqueName="[Table3]" displayFolder="" count="2" memberValueDatatype="130" unbalanced="0">
      <fieldsUsage count="2">
        <fieldUsage x="-1"/>
        <fieldUsage x="1"/>
      </fieldsUsage>
    </cacheHierarchy>
    <cacheHierarchy uniqueName="[Table3].[Date]" caption="Date" attribute="1" time="1" defaultMemberUniqueName="[Table3].[Date].[All]" allUniqueName="[Table3].[Date].[All]" dimensionUniqueName="[Table3]" displayFolder="" count="0" memberValueDatatype="7" unbalanced="0"/>
    <cacheHierarchy uniqueName="[Table3].[Date (Month)]" caption="Date (Month)" attribute="1" defaultMemberUniqueName="[Table3].[Date (Month)].[All]" allUniqueName="[Table3].[Date (Month)].[All]" dimensionUniqueName="[Table3]" displayFolder="" count="2"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Date (Year)]" caption="Date (Year)" attribute="1" defaultMemberUniqueName="[Table3].[Date (Year)].[All]" allUniqueName="[Table3].[Date (Year)].[All]" dimensionUniqueName="[Table3]" displayFolder="" count="0" memberValueDatatype="130" unbalanced="0"/>
    <cacheHierarchy uniqueName="[Table3].[Product]" caption="Product" attribute="1" defaultMemberUniqueName="[Table3].[Product].[All]" allUniqueName="[Table3].[Product].[All]" dimensionUniqueName="[Table3]" displayFolder="" count="2" memberValueDatatype="130" unbalanced="0">
      <fieldsUsage count="2">
        <fieldUsage x="-1"/>
        <fieldUsage x="3"/>
      </fieldsUsage>
    </cacheHierarchy>
    <cacheHierarchy uniqueName="[Table3].[Region]" caption="Region" attribute="1" defaultMemberUniqueName="[Table3].[Region].[All]" allUniqueName="[Table3].[Region].[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20" unbalanced="0"/>
    <cacheHierarchy uniqueName="[Table3].[Sales Rep]" caption="Sales Rep" attribute="1" defaultMemberUniqueName="[Table3].[Sales Rep].[All]" allUniqueName="[Table3].[Sales Rep].[All]" dimensionUniqueName="[Table3]" displayFolder="" count="0" memberValueDatatype="130" unbalanced="0"/>
    <cacheHierarchy uniqueName="[Table3].[Unit Price]" caption="Unit Price" attribute="1" defaultMemberUniqueName="[Table3].[Unit Price].[All]" allUniqueName="[Table3].[Unit Price].[All]" dimensionUniqueName="[Table3]" displayFolder="" count="0" memberValueDatatype="20" unbalanced="0"/>
    <cacheHierarchy uniqueName="[Table3].[Units Sold]" caption="Units Sold" attribute="1" defaultMemberUniqueName="[Table3].[Units Sold].[All]" allUniqueName="[Table3].[Units Sold].[All]" dimensionUniqueName="[Table3]" displayFolder="" count="0" memberValueDatatype="20" unbalanced="0"/>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nits Sold]" caption="Sum of Units Sold" measure="1" displayFolder="" measureGroup="Table3"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1"/>
        </ext>
      </extLst>
    </cacheHierarchy>
    <cacheHierarchy uniqueName="[Measures].[Count of Customer]" caption="Count of Customer" measure="1" displayFolder="" measureGroup="Table3"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Table3"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3"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3"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6036.674686226848" backgroundQuery="1" createdVersion="6" refreshedVersion="6" minRefreshableVersion="3" recordCount="0" supportSubquery="1" supportAdvancedDrill="1">
  <cacheSource type="external" connectionId="1"/>
  <cacheFields count="4">
    <cacheField name="[Table3].[Customer].[Customer]" caption="Customer" numFmtId="0" hierarchy="2" level="1">
      <sharedItems count="14">
        <s v="Adewale Stores"/>
        <s v="Alpha Retailers"/>
        <s v="Bright Solutions"/>
        <s v="Chika Mart"/>
        <s v="Emeka Traders"/>
        <s v="Femi Tech"/>
        <s v="Jide Superstores"/>
        <s v="Kelvin Tech"/>
        <s v="Maryam Ltd"/>
        <s v="Musa Enterprises"/>
        <s v="Omega Wholesale"/>
        <s v="Tola Ventures"/>
        <s v="Tope &amp; Sons"/>
        <s v="Zainab Global"/>
      </sharedItems>
    </cacheField>
    <cacheField name="[Table3].[Product].[Product]" caption="Product" numFmtId="0" hierarchy="7" level="1">
      <sharedItems count="8">
        <s v="Camera C100"/>
        <s v="Laptop A15"/>
        <s v="Monitor M24"/>
        <s v="Phone X12"/>
        <s v="Speaker S10"/>
        <s v="Tablet T8"/>
        <s v="Tv 43Q"/>
        <s v="Unknown"/>
      </sharedItems>
    </cacheField>
    <cacheField name="[Table3].[Date (Month)].[Date (Month)]" caption="Date (Month)" numFmtId="0" hierarchy="4" level="1">
      <sharedItems count="6">
        <s v="Jan"/>
        <s v="Feb"/>
        <s v="Mar"/>
        <s v="Apr"/>
        <s v="May"/>
        <s v="Jun"/>
      </sharedItems>
    </cacheField>
    <cacheField name="[Measures].[Sum of Revenue]" caption="Sum of Revenue" numFmtId="0" hierarchy="20" level="32767"/>
  </cacheFields>
  <cacheHierarchies count="22">
    <cacheHierarchy uniqueName="[Table3].[Category]" caption="Category" attribute="1" defaultMemberUniqueName="[Table3].[Category].[All]" allUniqueName="[Table3].[Category].[All]" dimensionUniqueName="[Table3]" displayFolder="" count="2" memberValueDatatype="130" unbalanced="0"/>
    <cacheHierarchy uniqueName="[Table3].[Column1]" caption="Column1" attribute="1" defaultMemberUniqueName="[Table3].[Column1].[All]" allUniqueName="[Table3].[Column1].[All]" dimensionUniqueName="[Table3]" displayFolder="" count="0" memberValueDatatype="20" unbalanced="0"/>
    <cacheHierarchy uniqueName="[Table3].[Customer]" caption="Customer" attribute="1" defaultMemberUniqueName="[Table3].[Customer].[All]" allUniqueName="[Table3].[Customer].[All]" dimensionUniqueName="[Table3]" displayFolder="" count="2" memberValueDatatype="130" unbalanced="0">
      <fieldsUsage count="2">
        <fieldUsage x="-1"/>
        <fieldUsage x="0"/>
      </fieldsUsage>
    </cacheHierarchy>
    <cacheHierarchy uniqueName="[Table3].[Date]" caption="Date" attribute="1" time="1" defaultMemberUniqueName="[Table3].[Date].[All]" allUniqueName="[Table3].[Date].[All]" dimensionUniqueName="[Table3]" displayFolder="" count="0" memberValueDatatype="7"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2"/>
      </fieldsUsage>
    </cacheHierarchy>
    <cacheHierarchy uniqueName="[Table3].[Date (Quarter)]" caption="Date (Quarter)" attribute="1" defaultMemberUniqueName="[Table3].[Date (Quarter)].[All]" allUniqueName="[Table3].[Date (Quarter)].[All]" dimensionUniqueName="[Table3]" displayFolder="" count="0" memberValueDatatype="130" unbalanced="0"/>
    <cacheHierarchy uniqueName="[Table3].[Date (Year)]" caption="Date (Year)" attribute="1" defaultMemberUniqueName="[Table3].[Date (Year)].[All]" allUniqueName="[Table3].[Date (Year)].[All]" dimensionUniqueName="[Table3]" displayFolder="" count="0" memberValueDatatype="130" unbalanced="0"/>
    <cacheHierarchy uniqueName="[Table3].[Product]" caption="Product" attribute="1" defaultMemberUniqueName="[Table3].[Product].[All]" allUniqueName="[Table3].[Product].[All]" dimensionUniqueName="[Table3]" displayFolder="" count="2" memberValueDatatype="130" unbalanced="0">
      <fieldsUsage count="2">
        <fieldUsage x="-1"/>
        <fieldUsage x="1"/>
      </fieldsUsage>
    </cacheHierarchy>
    <cacheHierarchy uniqueName="[Table3].[Region]" caption="Region" attribute="1" defaultMemberUniqueName="[Table3].[Region].[All]" allUniqueName="[Table3].[Region].[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20" unbalanced="0"/>
    <cacheHierarchy uniqueName="[Table3].[Sales Rep]" caption="Sales Rep" attribute="1" defaultMemberUniqueName="[Table3].[Sales Rep].[All]" allUniqueName="[Table3].[Sales Rep].[All]" dimensionUniqueName="[Table3]" displayFolder="" count="0" memberValueDatatype="130" unbalanced="0"/>
    <cacheHierarchy uniqueName="[Table3].[Unit Price]" caption="Unit Price" attribute="1" defaultMemberUniqueName="[Table3].[Unit Price].[All]" allUniqueName="[Table3].[Unit Price].[All]" dimensionUniqueName="[Table3]" displayFolder="" count="0" memberValueDatatype="20" unbalanced="0"/>
    <cacheHierarchy uniqueName="[Table3].[Units Sold]" caption="Units Sold" attribute="1" defaultMemberUniqueName="[Table3].[Units Sold].[All]" allUniqueName="[Table3].[Units Sold].[All]" dimensionUniqueName="[Table3]" displayFolder="" count="0" memberValueDatatype="20" unbalanced="0"/>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nits Sold]" caption="Sum of Units Sold" measure="1" displayFolder="" measureGroup="Table3"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1"/>
        </ext>
      </extLst>
    </cacheHierarchy>
    <cacheHierarchy uniqueName="[Measures].[Count of Customer]" caption="Count of Customer" measure="1" displayFolder="" measureGroup="Table3"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Table3"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3" count="0" oneField="1" hidden="1">
      <fieldsUsage count="1">
        <fieldUsage x="3"/>
      </fieldsUsage>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3"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036.674686805556" backgroundQuery="1" createdVersion="6" refreshedVersion="6" minRefreshableVersion="3" recordCount="0" supportSubquery="1" supportAdvancedDrill="1">
  <cacheSource type="external" connectionId="1"/>
  <cacheFields count="4">
    <cacheField name="[Table3].[Customer].[Customer]" caption="Customer" numFmtId="0" hierarchy="2" level="1">
      <sharedItems count="14">
        <s v="Adewale Stores"/>
        <s v="Alpha Retailers"/>
        <s v="Bright Solutions"/>
        <s v="Chika Mart"/>
        <s v="Emeka Traders"/>
        <s v="Femi Tech"/>
        <s v="Jide Superstores"/>
        <s v="Kelvin Tech"/>
        <s v="Maryam Ltd"/>
        <s v="Musa Enterprises"/>
        <s v="Omega Wholesale"/>
        <s v="Tola Ventures"/>
        <s v="Tope &amp; Sons"/>
        <s v="Zainab Global"/>
      </sharedItems>
    </cacheField>
    <cacheField name="[Table3].[Product].[Product]" caption="Product" numFmtId="0" hierarchy="7" level="1">
      <sharedItems count="8">
        <s v="Camera C100"/>
        <s v="Laptop A15"/>
        <s v="Monitor M24"/>
        <s v="Phone X12"/>
        <s v="Speaker S10"/>
        <s v="Tablet T8"/>
        <s v="Tv 43Q"/>
        <s v="Unknown"/>
      </sharedItems>
    </cacheField>
    <cacheField name="[Table3].[Date (Month)].[Date (Month)]" caption="Date (Month)" numFmtId="0" hierarchy="4" level="1">
      <sharedItems count="6">
        <s v="Jan"/>
        <s v="Feb"/>
        <s v="Mar"/>
        <s v="Apr"/>
        <s v="May"/>
        <s v="Jun"/>
      </sharedItems>
    </cacheField>
    <cacheField name="[Measures].[Sum of Units Sold]" caption="Sum of Units Sold" numFmtId="0" hierarchy="16" level="32767"/>
  </cacheFields>
  <cacheHierarchies count="22">
    <cacheHierarchy uniqueName="[Table3].[Category]" caption="Category" attribute="1" defaultMemberUniqueName="[Table3].[Category].[All]" allUniqueName="[Table3].[Category].[All]" dimensionUniqueName="[Table3]" displayFolder="" count="2" memberValueDatatype="130" unbalanced="0"/>
    <cacheHierarchy uniqueName="[Table3].[Column1]" caption="Column1" attribute="1" defaultMemberUniqueName="[Table3].[Column1].[All]" allUniqueName="[Table3].[Column1].[All]" dimensionUniqueName="[Table3]" displayFolder="" count="0" memberValueDatatype="20" unbalanced="0"/>
    <cacheHierarchy uniqueName="[Table3].[Customer]" caption="Customer" attribute="1" defaultMemberUniqueName="[Table3].[Customer].[All]" allUniqueName="[Table3].[Customer].[All]" dimensionUniqueName="[Table3]" displayFolder="" count="2" memberValueDatatype="130" unbalanced="0">
      <fieldsUsage count="2">
        <fieldUsage x="-1"/>
        <fieldUsage x="0"/>
      </fieldsUsage>
    </cacheHierarchy>
    <cacheHierarchy uniqueName="[Table3].[Date]" caption="Date" attribute="1" time="1" defaultMemberUniqueName="[Table3].[Date].[All]" allUniqueName="[Table3].[Date].[All]" dimensionUniqueName="[Table3]" displayFolder="" count="0" memberValueDatatype="7"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2"/>
      </fieldsUsage>
    </cacheHierarchy>
    <cacheHierarchy uniqueName="[Table3].[Date (Quarter)]" caption="Date (Quarter)" attribute="1" defaultMemberUniqueName="[Table3].[Date (Quarter)].[All]" allUniqueName="[Table3].[Date (Quarter)].[All]" dimensionUniqueName="[Table3]" displayFolder="" count="0" memberValueDatatype="130" unbalanced="0"/>
    <cacheHierarchy uniqueName="[Table3].[Date (Year)]" caption="Date (Year)" attribute="1" defaultMemberUniqueName="[Table3].[Date (Year)].[All]" allUniqueName="[Table3].[Date (Year)].[All]" dimensionUniqueName="[Table3]" displayFolder="" count="0" memberValueDatatype="130" unbalanced="0"/>
    <cacheHierarchy uniqueName="[Table3].[Product]" caption="Product" attribute="1" defaultMemberUniqueName="[Table3].[Product].[All]" allUniqueName="[Table3].[Product].[All]" dimensionUniqueName="[Table3]" displayFolder="" count="2" memberValueDatatype="130" unbalanced="0">
      <fieldsUsage count="2">
        <fieldUsage x="-1"/>
        <fieldUsage x="1"/>
      </fieldsUsage>
    </cacheHierarchy>
    <cacheHierarchy uniqueName="[Table3].[Region]" caption="Region" attribute="1" defaultMemberUniqueName="[Table3].[Region].[All]" allUniqueName="[Table3].[Region].[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20" unbalanced="0"/>
    <cacheHierarchy uniqueName="[Table3].[Sales Rep]" caption="Sales Rep" attribute="1" defaultMemberUniqueName="[Table3].[Sales Rep].[All]" allUniqueName="[Table3].[Sales Rep].[All]" dimensionUniqueName="[Table3]" displayFolder="" count="0" memberValueDatatype="130" unbalanced="0"/>
    <cacheHierarchy uniqueName="[Table3].[Unit Price]" caption="Unit Price" attribute="1" defaultMemberUniqueName="[Table3].[Unit Price].[All]" allUniqueName="[Table3].[Unit Price].[All]" dimensionUniqueName="[Table3]" displayFolder="" count="0" memberValueDatatype="20" unbalanced="0"/>
    <cacheHierarchy uniqueName="[Table3].[Units Sold]" caption="Units Sold" attribute="1" defaultMemberUniqueName="[Table3].[Units Sold].[All]" allUniqueName="[Table3].[Units Sold].[All]" dimensionUniqueName="[Table3]" displayFolder="" count="0" memberValueDatatype="20" unbalanced="0"/>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nits Sold]" caption="Sum of Units Sold" measure="1" displayFolder="" measureGroup="Table3"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1"/>
        </ext>
      </extLst>
    </cacheHierarchy>
    <cacheHierarchy uniqueName="[Measures].[Count of Customer]" caption="Count of Customer" measure="1" displayFolder="" measureGroup="Table3"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Table3"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3" count="0" hidden="1">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3"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 refreshedDate="46036.674687500003" backgroundQuery="1" createdVersion="6" refreshedVersion="6" minRefreshableVersion="3" recordCount="0" supportSubquery="1" supportAdvancedDrill="1">
  <cacheSource type="external" connectionId="1"/>
  <cacheFields count="5">
    <cacheField name="[Table3].[Customer].[Customer]" caption="Customer" numFmtId="0" hierarchy="2" level="1">
      <sharedItems count="14">
        <s v="Adewale Stores"/>
        <s v="Alpha Retailers"/>
        <s v="Bright Solutions"/>
        <s v="Chika Mart"/>
        <s v="Emeka Traders"/>
        <s v="Femi Tech"/>
        <s v="Jide Superstores"/>
        <s v="Kelvin Tech"/>
        <s v="Maryam Ltd"/>
        <s v="Musa Enterprises"/>
        <s v="Omega Wholesale"/>
        <s v="Tola Ventures"/>
        <s v="Tope &amp; Sons"/>
        <s v="Zainab Global"/>
      </sharedItems>
    </cacheField>
    <cacheField name="[Table3].[Product].[Product]" caption="Product" numFmtId="0" hierarchy="7" level="1">
      <sharedItems count="8">
        <s v="Camera C100"/>
        <s v="Laptop A15"/>
        <s v="Monitor M24"/>
        <s v="Phone X12"/>
        <s v="Speaker S10"/>
        <s v="Tablet T8"/>
        <s v="Tv 43Q"/>
        <s v="Unknown"/>
      </sharedItems>
    </cacheField>
    <cacheField name="[Measures].[Sum of Revenue]" caption="Sum of Revenue" numFmtId="0" hierarchy="20" level="32767"/>
    <cacheField name="[Table3].[Region].[Region]" caption="Region" numFmtId="0" hierarchy="8" level="1">
      <sharedItems count="4">
        <s v="East"/>
        <s v="North"/>
        <s v="South"/>
        <s v="West"/>
      </sharedItems>
    </cacheField>
    <cacheField name="[Measures].[Sum of Units Sold]" caption="Sum of Units Sold" numFmtId="0" hierarchy="16" level="32767"/>
  </cacheFields>
  <cacheHierarchies count="22">
    <cacheHierarchy uniqueName="[Table3].[Category]" caption="Category" attribute="1" defaultMemberUniqueName="[Table3].[Category].[All]" allUniqueName="[Table3].[Category].[All]" dimensionUniqueName="[Table3]" displayFolder="" count="2" memberValueDatatype="130" unbalanced="0"/>
    <cacheHierarchy uniqueName="[Table3].[Column1]" caption="Column1" attribute="1" defaultMemberUniqueName="[Table3].[Column1].[All]" allUniqueName="[Table3].[Column1].[All]" dimensionUniqueName="[Table3]" displayFolder="" count="0" memberValueDatatype="20" unbalanced="0"/>
    <cacheHierarchy uniqueName="[Table3].[Customer]" caption="Customer" attribute="1" defaultMemberUniqueName="[Table3].[Customer].[All]" allUniqueName="[Table3].[Customer].[All]" dimensionUniqueName="[Table3]" displayFolder="" count="2" memberValueDatatype="130" unbalanced="0">
      <fieldsUsage count="2">
        <fieldUsage x="-1"/>
        <fieldUsage x="0"/>
      </fieldsUsage>
    </cacheHierarchy>
    <cacheHierarchy uniqueName="[Table3].[Date]" caption="Date" attribute="1" time="1" defaultMemberUniqueName="[Table3].[Date].[All]" allUniqueName="[Table3].[Date].[All]" dimensionUniqueName="[Table3]" displayFolder="" count="0" memberValueDatatype="7" unbalanced="0"/>
    <cacheHierarchy uniqueName="[Table3].[Date (Month)]" caption="Date (Month)" attribute="1" defaultMemberUniqueName="[Table3].[Date (Month)].[All]" allUniqueName="[Table3].[Date (Month)].[All]" dimensionUniqueName="[Table3]" displayFolder="" count="2"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Date (Year)]" caption="Date (Year)" attribute="1" defaultMemberUniqueName="[Table3].[Date (Year)].[All]" allUniqueName="[Table3].[Date (Year)].[All]" dimensionUniqueName="[Table3]" displayFolder="" count="0" memberValueDatatype="130" unbalanced="0"/>
    <cacheHierarchy uniqueName="[Table3].[Product]" caption="Product" attribute="1" defaultMemberUniqueName="[Table3].[Product].[All]" allUniqueName="[Table3].[Product].[All]" dimensionUniqueName="[Table3]" displayFolder="" count="2" memberValueDatatype="130" unbalanced="0">
      <fieldsUsage count="2">
        <fieldUsage x="-1"/>
        <fieldUsage x="1"/>
      </fieldsUsage>
    </cacheHierarchy>
    <cacheHierarchy uniqueName="[Table3].[Region]" caption="Region" attribute="1" defaultMemberUniqueName="[Table3].[Region].[All]" allUniqueName="[Table3].[Region].[All]" dimensionUniqueName="[Table3]" displayFolder="" count="2" memberValueDatatype="130" unbalanced="0">
      <fieldsUsage count="2">
        <fieldUsage x="-1"/>
        <fieldUsage x="3"/>
      </fieldsUsage>
    </cacheHierarchy>
    <cacheHierarchy uniqueName="[Table3].[Revenue]" caption="Revenue" attribute="1" defaultMemberUniqueName="[Table3].[Revenue].[All]" allUniqueName="[Table3].[Revenue].[All]" dimensionUniqueName="[Table3]" displayFolder="" count="0" memberValueDatatype="20" unbalanced="0"/>
    <cacheHierarchy uniqueName="[Table3].[Sales Rep]" caption="Sales Rep" attribute="1" defaultMemberUniqueName="[Table3].[Sales Rep].[All]" allUniqueName="[Table3].[Sales Rep].[All]" dimensionUniqueName="[Table3]" displayFolder="" count="0" memberValueDatatype="130" unbalanced="0"/>
    <cacheHierarchy uniqueName="[Table3].[Unit Price]" caption="Unit Price" attribute="1" defaultMemberUniqueName="[Table3].[Unit Price].[All]" allUniqueName="[Table3].[Unit Price].[All]" dimensionUniqueName="[Table3]" displayFolder="" count="0" memberValueDatatype="20" unbalanced="0"/>
    <cacheHierarchy uniqueName="[Table3].[Units Sold]" caption="Units Sold" attribute="1" defaultMemberUniqueName="[Table3].[Units Sold].[All]" allUniqueName="[Table3].[Units Sold].[All]" dimensionUniqueName="[Table3]" displayFolder="" count="0" memberValueDatatype="20" unbalanced="0"/>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nits Sold]" caption="Sum of Units Sold" measure="1" displayFolder="" measureGroup="Table3" count="0" oneField="1" hidden="1">
      <fieldsUsage count="1">
        <fieldUsage x="4"/>
      </fieldsUsage>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1"/>
        </ext>
      </extLst>
    </cacheHierarchy>
    <cacheHierarchy uniqueName="[Measures].[Count of Customer]" caption="Count of Customer" measure="1" displayFolder="" measureGroup="Table3"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Table3"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3"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3"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in" refreshedDate="46036.674995717593" backgroundQuery="1" createdVersion="6" refreshedVersion="6" minRefreshableVersion="3" recordCount="0" supportSubquery="1" supportAdvancedDrill="1">
  <cacheSource type="external" connectionId="1"/>
  <cacheFields count="4">
    <cacheField name="[Table3].[Customer].[Customer]" caption="Customer" numFmtId="0" hierarchy="2" level="1">
      <sharedItems count="14">
        <s v="Adewale Stores"/>
        <s v="Alpha Retailers"/>
        <s v="Bright Solutions"/>
        <s v="Chika Mart"/>
        <s v="Emeka Traders"/>
        <s v="Femi Tech"/>
        <s v="Jide Superstores"/>
        <s v="Kelvin Tech"/>
        <s v="Maryam Ltd"/>
        <s v="Musa Enterprises"/>
        <s v="Omega Wholesale"/>
        <s v="Tola Ventures"/>
        <s v="Tope &amp; Sons"/>
        <s v="Zainab Global"/>
      </sharedItems>
    </cacheField>
    <cacheField name="[Table3].[Product].[Product]" caption="Product" numFmtId="0" hierarchy="7" level="1">
      <sharedItems count="8">
        <s v="Camera C100"/>
        <s v="Laptop A15"/>
        <s v="Monitor M24"/>
        <s v="Phone X12"/>
        <s v="Speaker S10"/>
        <s v="Tablet T8"/>
        <s v="Tv 43Q"/>
        <s v="Unknown"/>
      </sharedItems>
    </cacheField>
    <cacheField name="[Measures].[Sum of Units Sold]" caption="Sum of Units Sold" numFmtId="0" hierarchy="16" level="32767"/>
    <cacheField name="[Table3].[Category].[Category]" caption="Category" numFmtId="0" level="1">
      <sharedItems containsSemiMixedTypes="0" containsNonDate="0" containsString="0"/>
    </cacheField>
  </cacheFields>
  <cacheHierarchies count="22">
    <cacheHierarchy uniqueName="[Table3].[Category]" caption="Category" attribute="1" defaultMemberUniqueName="[Table3].[Category].[All]" allUniqueName="[Table3].[Category].[All]" dimensionUniqueName="[Table3]" displayFolder="" count="2" memberValueDatatype="130" unbalanced="0">
      <fieldsUsage count="2">
        <fieldUsage x="-1"/>
        <fieldUsage x="3"/>
      </fieldsUsage>
    </cacheHierarchy>
    <cacheHierarchy uniqueName="[Table3].[Column1]" caption="Column1" attribute="1" defaultMemberUniqueName="[Table3].[Column1].[All]" allUniqueName="[Table3].[Column1].[All]" dimensionUniqueName="[Table3]" displayFolder="" count="2" memberValueDatatype="20" unbalanced="0"/>
    <cacheHierarchy uniqueName="[Table3].[Customer]" caption="Customer" attribute="1" defaultMemberUniqueName="[Table3].[Customer].[All]" allUniqueName="[Table3].[Customer].[All]" dimensionUniqueName="[Table3]" displayFolder="" count="2" memberValueDatatype="130" unbalanced="0">
      <fieldsUsage count="2">
        <fieldUsage x="-1"/>
        <fieldUsage x="0"/>
      </fieldsUsage>
    </cacheHierarchy>
    <cacheHierarchy uniqueName="[Table3].[Date]" caption="Date" attribute="1" time="1" defaultMemberUniqueName="[Table3].[Date].[All]" allUniqueName="[Table3].[Date].[All]" dimensionUniqueName="[Table3]" displayFolder="" count="2" memberValueDatatype="7" unbalanced="0"/>
    <cacheHierarchy uniqueName="[Table3].[Date (Month)]" caption="Date (Month)" attribute="1" defaultMemberUniqueName="[Table3].[Date (Month)].[All]" allUniqueName="[Table3].[Date (Month)].[All]" dimensionUniqueName="[Table3]" displayFolder="" count="2" memberValueDatatype="130" unbalanced="0"/>
    <cacheHierarchy uniqueName="[Table3].[Date (Quarter)]" caption="Date (Quarter)" attribute="1" defaultMemberUniqueName="[Table3].[Date (Quarter)].[All]" allUniqueName="[Table3].[Date (Quarter)].[All]" dimensionUniqueName="[Table3]" displayFolder="" count="2" memberValueDatatype="130" unbalanced="0"/>
    <cacheHierarchy uniqueName="[Table3].[Date (Year)]" caption="Date (Year)" attribute="1" defaultMemberUniqueName="[Table3].[Date (Year)].[All]" allUniqueName="[Table3].[Date (Year)].[All]" dimensionUniqueName="[Table3]" displayFolder="" count="2" memberValueDatatype="130" unbalanced="0"/>
    <cacheHierarchy uniqueName="[Table3].[Product]" caption="Product" attribute="1" defaultMemberUniqueName="[Table3].[Product].[All]" allUniqueName="[Table3].[Product].[All]" dimensionUniqueName="[Table3]" displayFolder="" count="2" memberValueDatatype="130" unbalanced="0">
      <fieldsUsage count="2">
        <fieldUsage x="-1"/>
        <fieldUsage x="1"/>
      </fieldsUsage>
    </cacheHierarchy>
    <cacheHierarchy uniqueName="[Table3].[Region]" caption="Region" attribute="1" defaultMemberUniqueName="[Table3].[Region].[All]" allUniqueName="[Table3].[Region].[All]" dimensionUniqueName="[Table3]" displayFolder="" count="2" memberValueDatatype="130" unbalanced="0"/>
    <cacheHierarchy uniqueName="[Table3].[Revenue]" caption="Revenue" attribute="1" defaultMemberUniqueName="[Table3].[Revenue].[All]" allUniqueName="[Table3].[Revenue].[All]" dimensionUniqueName="[Table3]" displayFolder="" count="2" memberValueDatatype="20" unbalanced="0"/>
    <cacheHierarchy uniqueName="[Table3].[Sales Rep]" caption="Sales Rep" attribute="1" defaultMemberUniqueName="[Table3].[Sales Rep].[All]" allUniqueName="[Table3].[Sales Rep].[All]" dimensionUniqueName="[Table3]" displayFolder="" count="2" memberValueDatatype="130" unbalanced="0"/>
    <cacheHierarchy uniqueName="[Table3].[Unit Price]" caption="Unit Price" attribute="1" defaultMemberUniqueName="[Table3].[Unit Price].[All]" allUniqueName="[Table3].[Unit Price].[All]" dimensionUniqueName="[Table3]" displayFolder="" count="2" memberValueDatatype="20" unbalanced="0"/>
    <cacheHierarchy uniqueName="[Table3].[Units Sold]" caption="Units Sold" attribute="1" defaultMemberUniqueName="[Table3].[Units Sold].[All]" allUniqueName="[Table3].[Units Sold].[All]" dimensionUniqueName="[Table3]" displayFolder="" count="2" memberValueDatatype="20" unbalanced="0"/>
    <cacheHierarchy uniqueName="[Table3].[Date (Month Index)]" caption="Date (Month Index)" attribute="1" defaultMemberUniqueName="[Table3].[Date (Month Index)].[All]" allUniqueName="[Table3].[Date (Month Index)].[All]" dimensionUniqueName="[Table3]" displayFolder="" count="2"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nits Sold]" caption="Sum of Units Sold" measure="1" displayFolder="" measureGroup="Table3"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1"/>
        </ext>
      </extLst>
    </cacheHierarchy>
    <cacheHierarchy uniqueName="[Measures].[Count of Customer]" caption="Count of Customer" measure="1" displayFolder="" measureGroup="Table3"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Table3"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3" count="0" hidden="1">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3"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in" refreshedDate="46036.674996180554" backgroundQuery="1" createdVersion="6" refreshedVersion="6" minRefreshableVersion="3" recordCount="0" supportSubquery="1" supportAdvancedDrill="1">
  <cacheSource type="external" connectionId="1"/>
  <cacheFields count="5">
    <cacheField name="[Measures].[Sum of Units Sold]" caption="Sum of Units Sold" numFmtId="0" hierarchy="16" level="32767"/>
    <cacheField name="[Measures].[Distinct Count of Customer]" caption="Distinct Count of Customer" numFmtId="0" hierarchy="19" level="32767"/>
    <cacheField name="[Measures].[Sum of Revenue]" caption="Sum of Revenue" numFmtId="0" hierarchy="20" level="32767"/>
    <cacheField name="[Measures].[Average of Unit Price]" caption="Average of Unit Price" numFmtId="0" hierarchy="21" level="32767"/>
    <cacheField name="[Table3].[Category].[Category]" caption="Category" numFmtId="0" level="1">
      <sharedItems containsSemiMixedTypes="0" containsNonDate="0" containsString="0"/>
    </cacheField>
  </cacheFields>
  <cacheHierarchies count="22">
    <cacheHierarchy uniqueName="[Table3].[Category]" caption="Category" attribute="1" defaultMemberUniqueName="[Table3].[Category].[All]" allUniqueName="[Table3].[Category].[All]" dimensionUniqueName="[Table3]" displayFolder="" count="2" memberValueDatatype="130" unbalanced="0">
      <fieldsUsage count="2">
        <fieldUsage x="-1"/>
        <fieldUsage x="4"/>
      </fieldsUsage>
    </cacheHierarchy>
    <cacheHierarchy uniqueName="[Table3].[Column1]" caption="Column1" attribute="1" defaultMemberUniqueName="[Table3].[Column1].[All]" allUniqueName="[Table3].[Column1].[All]" dimensionUniqueName="[Table3]" displayFolder="" count="0" memberValueDatatype="20" unbalanced="0"/>
    <cacheHierarchy uniqueName="[Table3].[Customer]" caption="Customer" attribute="1" defaultMemberUniqueName="[Table3].[Customer].[All]" allUniqueName="[Table3].[Customer].[All]" dimensionUniqueName="[Table3]"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Date (Month)]" caption="Date (Month)" attribute="1" defaultMemberUniqueName="[Table3].[Date (Month)].[All]" allUniqueName="[Table3].[Date (Month)].[All]" dimensionUniqueName="[Table3]" displayFolder="" count="2"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Date (Year)]" caption="Date (Year)" attribute="1" defaultMemberUniqueName="[Table3].[Date (Year)].[All]" allUniqueName="[Table3].[Date (Year)].[All]" dimensionUniqueName="[Table3]" displayFolder="" count="0" memberValueDatatype="130" unbalanced="0"/>
    <cacheHierarchy uniqueName="[Table3].[Product]" caption="Product" attribute="1" defaultMemberUniqueName="[Table3].[Product].[All]" allUniqueName="[Table3].[Product].[All]" dimensionUniqueName="[Table3]" displayFolder="" count="2"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20" unbalanced="0"/>
    <cacheHierarchy uniqueName="[Table3].[Sales Rep]" caption="Sales Rep" attribute="1" defaultMemberUniqueName="[Table3].[Sales Rep].[All]" allUniqueName="[Table3].[Sales Rep].[All]" dimensionUniqueName="[Table3]" displayFolder="" count="0" memberValueDatatype="130" unbalanced="0"/>
    <cacheHierarchy uniqueName="[Table3].[Unit Price]" caption="Unit Price" attribute="1" defaultMemberUniqueName="[Table3].[Unit Price].[All]" allUniqueName="[Table3].[Unit Price].[All]" dimensionUniqueName="[Table3]" displayFolder="" count="0" memberValueDatatype="20" unbalanced="0"/>
    <cacheHierarchy uniqueName="[Table3].[Units Sold]" caption="Units Sold" attribute="1" defaultMemberUniqueName="[Table3].[Units Sold].[All]" allUniqueName="[Table3].[Units Sold].[All]" dimensionUniqueName="[Table3]" displayFolder="" count="0" memberValueDatatype="20" unbalanced="0"/>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nits Sold]" caption="Sum of Units Sold" measure="1" displayFolder="" measureGroup="Table3"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1"/>
        </ext>
      </extLst>
    </cacheHierarchy>
    <cacheHierarchy uniqueName="[Measures].[Count of Customer]" caption="Count of Customer" measure="1" displayFolder="" measureGroup="Table3"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Table3"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3"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3"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in" refreshedDate="46036.674996759262" backgroundQuery="1" createdVersion="6" refreshedVersion="6" minRefreshableVersion="3" recordCount="0" supportSubquery="1" supportAdvancedDrill="1">
  <cacheSource type="external" connectionId="1"/>
  <cacheFields count="4">
    <cacheField name="[Table3].[Customer].[Customer]" caption="Customer" numFmtId="0" hierarchy="2" level="1">
      <sharedItems count="14">
        <s v="Adewale Stores"/>
        <s v="Alpha Retailers"/>
        <s v="Bright Solutions"/>
        <s v="Chika Mart"/>
        <s v="Emeka Traders"/>
        <s v="Femi Tech"/>
        <s v="Jide Superstores"/>
        <s v="Kelvin Tech"/>
        <s v="Maryam Ltd"/>
        <s v="Musa Enterprises"/>
        <s v="Omega Wholesale"/>
        <s v="Tola Ventures"/>
        <s v="Tope &amp; Sons"/>
        <s v="Zainab Global"/>
      </sharedItems>
    </cacheField>
    <cacheField name="[Table3].[Product].[Product]" caption="Product" numFmtId="0" hierarchy="7" level="1">
      <sharedItems count="8">
        <s v="Camera C100"/>
        <s v="Laptop A15"/>
        <s v="Monitor M24"/>
        <s v="Phone X12"/>
        <s v="Speaker S10"/>
        <s v="Tablet T8"/>
        <s v="Tv 43Q"/>
        <s v="Unknown"/>
      </sharedItems>
    </cacheField>
    <cacheField name="[Measures].[Sum of Revenue]" caption="Sum of Revenue" numFmtId="0" hierarchy="20" level="32767"/>
    <cacheField name="[Table3].[Category].[Category]" caption="Category" numFmtId="0" level="1">
      <sharedItems containsSemiMixedTypes="0" containsNonDate="0" containsString="0"/>
    </cacheField>
  </cacheFields>
  <cacheHierarchies count="22">
    <cacheHierarchy uniqueName="[Table3].[Category]" caption="Category" attribute="1" defaultMemberUniqueName="[Table3].[Category].[All]" allUniqueName="[Table3].[Category].[All]" dimensionUniqueName="[Table3]" displayFolder="" count="2" memberValueDatatype="130" unbalanced="0">
      <fieldsUsage count="2">
        <fieldUsage x="-1"/>
        <fieldUsage x="3"/>
      </fieldsUsage>
    </cacheHierarchy>
    <cacheHierarchy uniqueName="[Table3].[Column1]" caption="Column1" attribute="1" defaultMemberUniqueName="[Table3].[Column1].[All]" allUniqueName="[Table3].[Column1].[All]" dimensionUniqueName="[Table3]" displayFolder="" count="0" memberValueDatatype="20" unbalanced="0"/>
    <cacheHierarchy uniqueName="[Table3].[Customer]" caption="Customer" attribute="1" defaultMemberUniqueName="[Table3].[Customer].[All]" allUniqueName="[Table3].[Customer].[All]" dimensionUniqueName="[Table3]" displayFolder="" count="2" memberValueDatatype="130" unbalanced="0">
      <fieldsUsage count="2">
        <fieldUsage x="-1"/>
        <fieldUsage x="0"/>
      </fieldsUsage>
    </cacheHierarchy>
    <cacheHierarchy uniqueName="[Table3].[Date]" caption="Date" attribute="1" time="1" defaultMemberUniqueName="[Table3].[Date].[All]" allUniqueName="[Table3].[Date].[All]" dimensionUniqueName="[Table3]" displayFolder="" count="0" memberValueDatatype="7" unbalanced="0"/>
    <cacheHierarchy uniqueName="[Table3].[Date (Month)]" caption="Date (Month)" attribute="1" defaultMemberUniqueName="[Table3].[Date (Month)].[All]" allUniqueName="[Table3].[Date (Month)].[All]" dimensionUniqueName="[Table3]" displayFolder="" count="2"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Date (Year)]" caption="Date (Year)" attribute="1" defaultMemberUniqueName="[Table3].[Date (Year)].[All]" allUniqueName="[Table3].[Date (Year)].[All]" dimensionUniqueName="[Table3]" displayFolder="" count="0" memberValueDatatype="130" unbalanced="0"/>
    <cacheHierarchy uniqueName="[Table3].[Product]" caption="Product" attribute="1" defaultMemberUniqueName="[Table3].[Product].[All]" allUniqueName="[Table3].[Product].[All]" dimensionUniqueName="[Table3]" displayFolder="" count="2" memberValueDatatype="130" unbalanced="0">
      <fieldsUsage count="2">
        <fieldUsage x="-1"/>
        <fieldUsage x="1"/>
      </fieldsUsage>
    </cacheHierarchy>
    <cacheHierarchy uniqueName="[Table3].[Region]" caption="Region" attribute="1" defaultMemberUniqueName="[Table3].[Region].[All]" allUniqueName="[Table3].[Region].[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20" unbalanced="0"/>
    <cacheHierarchy uniqueName="[Table3].[Sales Rep]" caption="Sales Rep" attribute="1" defaultMemberUniqueName="[Table3].[Sales Rep].[All]" allUniqueName="[Table3].[Sales Rep].[All]" dimensionUniqueName="[Table3]" displayFolder="" count="0" memberValueDatatype="130" unbalanced="0"/>
    <cacheHierarchy uniqueName="[Table3].[Unit Price]" caption="Unit Price" attribute="1" defaultMemberUniqueName="[Table3].[Unit Price].[All]" allUniqueName="[Table3].[Unit Price].[All]" dimensionUniqueName="[Table3]" displayFolder="" count="0" memberValueDatatype="20" unbalanced="0"/>
    <cacheHierarchy uniqueName="[Table3].[Units Sold]" caption="Units Sold" attribute="1" defaultMemberUniqueName="[Table3].[Units Sold].[All]" allUniqueName="[Table3].[Units Sold].[All]" dimensionUniqueName="[Table3]" displayFolder="" count="0" memberValueDatatype="20" unbalanced="0"/>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nits Sold]" caption="Sum of Units Sold" measure="1" displayFolder="" measureGroup="Table3"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1"/>
        </ext>
      </extLst>
    </cacheHierarchy>
    <cacheHierarchy uniqueName="[Measures].[Count of Customer]" caption="Count of Customer" measure="1" displayFolder="" measureGroup="Table3"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Table3"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3"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3"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dmin" refreshedDate="46036.674997337963" backgroundQuery="1" createdVersion="6" refreshedVersion="6" minRefreshableVersion="3" recordCount="0" supportSubquery="1" supportAdvancedDrill="1">
  <cacheSource type="external" connectionId="1"/>
  <cacheFields count="4">
    <cacheField name="[Table3].[Customer].[Customer]" caption="Customer" numFmtId="0" hierarchy="2" level="1">
      <sharedItems count="14">
        <s v="Adewale Stores"/>
        <s v="Alpha Retailers"/>
        <s v="Bright Solutions"/>
        <s v="Chika Mart"/>
        <s v="Emeka Traders"/>
        <s v="Femi Tech"/>
        <s v="Jide Superstores"/>
        <s v="Kelvin Tech"/>
        <s v="Maryam Ltd"/>
        <s v="Musa Enterprises"/>
        <s v="Omega Wholesale"/>
        <s v="Tola Ventures"/>
        <s v="Tope &amp; Sons"/>
        <s v="Zainab Global"/>
      </sharedItems>
    </cacheField>
    <cacheField name="[Table3].[Product].[Product]" caption="Product" numFmtId="0" hierarchy="7" level="1">
      <sharedItems count="8">
        <s v="Camera C100"/>
        <s v="Laptop A15"/>
        <s v="Monitor M24"/>
        <s v="Phone X12"/>
        <s v="Speaker S10"/>
        <s v="Tablet T8"/>
        <s v="Tv 43Q"/>
        <s v="Unknown"/>
      </sharedItems>
    </cacheField>
    <cacheField name="[Measures].[Sum of Revenue]" caption="Sum of Revenue" numFmtId="0" hierarchy="20" level="32767"/>
    <cacheField name="[Table3].[Category].[Category]" caption="Category" numFmtId="0" level="1">
      <sharedItems containsSemiMixedTypes="0" containsNonDate="0" containsString="0"/>
    </cacheField>
  </cacheFields>
  <cacheHierarchies count="22">
    <cacheHierarchy uniqueName="[Table3].[Category]" caption="Category" attribute="1" defaultMemberUniqueName="[Table3].[Category].[All]" allUniqueName="[Table3].[Category].[All]" dimensionUniqueName="[Table3]" displayFolder="" count="2" memberValueDatatype="130" unbalanced="0">
      <fieldsUsage count="2">
        <fieldUsage x="-1"/>
        <fieldUsage x="3"/>
      </fieldsUsage>
    </cacheHierarchy>
    <cacheHierarchy uniqueName="[Table3].[Column1]" caption="Column1" attribute="1" defaultMemberUniqueName="[Table3].[Column1].[All]" allUniqueName="[Table3].[Column1].[All]" dimensionUniqueName="[Table3]" displayFolder="" count="0" memberValueDatatype="20" unbalanced="0"/>
    <cacheHierarchy uniqueName="[Table3].[Customer]" caption="Customer" attribute="1" defaultMemberUniqueName="[Table3].[Customer].[All]" allUniqueName="[Table3].[Customer].[All]" dimensionUniqueName="[Table3]" displayFolder="" count="2" memberValueDatatype="130" unbalanced="0">
      <fieldsUsage count="2">
        <fieldUsage x="-1"/>
        <fieldUsage x="0"/>
      </fieldsUsage>
    </cacheHierarchy>
    <cacheHierarchy uniqueName="[Table3].[Date]" caption="Date" attribute="1" time="1" defaultMemberUniqueName="[Table3].[Date].[All]" allUniqueName="[Table3].[Date].[All]" dimensionUniqueName="[Table3]" displayFolder="" count="0" memberValueDatatype="7" unbalanced="0"/>
    <cacheHierarchy uniqueName="[Table3].[Date (Month)]" caption="Date (Month)" attribute="1" defaultMemberUniqueName="[Table3].[Date (Month)].[All]" allUniqueName="[Table3].[Date (Month)].[All]" dimensionUniqueName="[Table3]" displayFolder="" count="2"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Date (Year)]" caption="Date (Year)" attribute="1" defaultMemberUniqueName="[Table3].[Date (Year)].[All]" allUniqueName="[Table3].[Date (Year)].[All]" dimensionUniqueName="[Table3]" displayFolder="" count="0" memberValueDatatype="130" unbalanced="0"/>
    <cacheHierarchy uniqueName="[Table3].[Product]" caption="Product" attribute="1" defaultMemberUniqueName="[Table3].[Product].[All]" allUniqueName="[Table3].[Product].[All]" dimensionUniqueName="[Table3]" displayFolder="" count="2" memberValueDatatype="130" unbalanced="0">
      <fieldsUsage count="2">
        <fieldUsage x="-1"/>
        <fieldUsage x="1"/>
      </fieldsUsage>
    </cacheHierarchy>
    <cacheHierarchy uniqueName="[Table3].[Region]" caption="Region" attribute="1" defaultMemberUniqueName="[Table3].[Region].[All]" allUniqueName="[Table3].[Region].[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20" unbalanced="0"/>
    <cacheHierarchy uniqueName="[Table3].[Sales Rep]" caption="Sales Rep" attribute="1" defaultMemberUniqueName="[Table3].[Sales Rep].[All]" allUniqueName="[Table3].[Sales Rep].[All]" dimensionUniqueName="[Table3]" displayFolder="" count="0" memberValueDatatype="130" unbalanced="0"/>
    <cacheHierarchy uniqueName="[Table3].[Unit Price]" caption="Unit Price" attribute="1" defaultMemberUniqueName="[Table3].[Unit Price].[All]" allUniqueName="[Table3].[Unit Price].[All]" dimensionUniqueName="[Table3]" displayFolder="" count="0" memberValueDatatype="20" unbalanced="0"/>
    <cacheHierarchy uniqueName="[Table3].[Units Sold]" caption="Units Sold" attribute="1" defaultMemberUniqueName="[Table3].[Units Sold].[All]" allUniqueName="[Table3].[Units Sold].[All]" dimensionUniqueName="[Table3]" displayFolder="" count="0" memberValueDatatype="20" unbalanced="0"/>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nits Sold]" caption="Sum of Units Sold" measure="1" displayFolder="" measureGroup="Table3"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1"/>
        </ext>
      </extLst>
    </cacheHierarchy>
    <cacheHierarchy uniqueName="[Measures].[Count of Customer]" caption="Count of Customer" measure="1" displayFolder="" measureGroup="Table3"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Table3"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3"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3"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dmin" refreshedDate="46036.627378819445"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3].[Category]" caption="Category" attribute="1" defaultMemberUniqueName="[Table3].[Category].[All]" allUniqueName="[Table3].[Category].[All]" dimensionUniqueName="[Table3]" displayFolder="" count="2" memberValueDatatype="130" unbalanced="0"/>
    <cacheHierarchy uniqueName="[Table3].[Column1]" caption="Column1" attribute="1" defaultMemberUniqueName="[Table3].[Column1].[All]" allUniqueName="[Table3].[Column1].[All]" dimensionUniqueName="[Table3]" displayFolder="" count="0" memberValueDatatype="20" unbalanced="0"/>
    <cacheHierarchy uniqueName="[Table3].[Customer]" caption="Customer" attribute="1" defaultMemberUniqueName="[Table3].[Customer].[All]" allUniqueName="[Table3].[Customer].[All]" dimensionUniqueName="[Table3]"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Date (Month)]" caption="Date (Month)" attribute="1" defaultMemberUniqueName="[Table3].[Date (Month)].[All]" allUniqueName="[Table3].[Date (Month)].[All]" dimensionUniqueName="[Table3]" displayFolder="" count="2"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Date (Year)]" caption="Date (Year)" attribute="1" defaultMemberUniqueName="[Table3].[Date (Year)].[All]" allUniqueName="[Table3].[Date (Year)].[All]" dimensionUniqueName="[Table3]" displayFolder="" count="0" memberValueDatatype="130" unbalanced="0"/>
    <cacheHierarchy uniqueName="[Table3].[Product]" caption="Product" attribute="1" defaultMemberUniqueName="[Table3].[Product].[All]" allUniqueName="[Table3].[Product].[All]" dimensionUniqueName="[Table3]" displayFolder="" count="2"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Revenue]" caption="Revenue" attribute="1" defaultMemberUniqueName="[Table3].[Revenue].[All]" allUniqueName="[Table3].[Revenue].[All]" dimensionUniqueName="[Table3]" displayFolder="" count="0" memberValueDatatype="20" unbalanced="0"/>
    <cacheHierarchy uniqueName="[Table3].[Sales Rep]" caption="Sales Rep" attribute="1" defaultMemberUniqueName="[Table3].[Sales Rep].[All]" allUniqueName="[Table3].[Sales Rep].[All]" dimensionUniqueName="[Table3]" displayFolder="" count="0" memberValueDatatype="130" unbalanced="0"/>
    <cacheHierarchy uniqueName="[Table3].[Unit Price]" caption="Unit Price" attribute="1" defaultMemberUniqueName="[Table3].[Unit Price].[All]" allUniqueName="[Table3].[Unit Price].[All]" dimensionUniqueName="[Table3]" displayFolder="" count="0" memberValueDatatype="20" unbalanced="0"/>
    <cacheHierarchy uniqueName="[Table3].[Units Sold]" caption="Units Sold" attribute="1" defaultMemberUniqueName="[Table3].[Units Sold].[All]" allUniqueName="[Table3].[Units Sold].[All]" dimensionUniqueName="[Table3]" displayFolder="" count="0" memberValueDatatype="20" unbalanced="0"/>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nits Sold]" caption="Sum of Units Sold" measure="1" displayFolder="" measureGroup="Table3"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11"/>
        </ext>
      </extLst>
    </cacheHierarchy>
    <cacheHierarchy uniqueName="[Measures].[Count of Customer]" caption="Count of Customer" measure="1" displayFolder="" measureGroup="Table3"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Table3"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3" count="0" hidden="1">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3"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4" cacheId="893" applyNumberFormats="0" applyBorderFormats="0" applyFontFormats="0" applyPatternFormats="0" applyAlignmentFormats="0" applyWidthHeightFormats="1" dataCaption="Values" tag="0342ed12-60b1-4f83-ac1a-ddc9a82527ed" updatedVersion="6" minRefreshableVersion="3" useAutoFormatting="1" subtotalHiddenItems="1" itemPrintTitles="1" createdVersion="6" indent="0" outline="1" outlineData="1" multipleFieldFilters="0" chartFormat="29">
  <location ref="A20:B27" firstHeaderRow="1" firstDataRow="1" firstDataCol="1"/>
  <pivotFields count="4">
    <pivotField allDrilled="1" showAll="0" measureFilter="1" defaultAttributeDrillState="1">
      <items count="15">
        <item x="0"/>
        <item x="1"/>
        <item x="2"/>
        <item x="3"/>
        <item x="4"/>
        <item x="5"/>
        <item x="6"/>
        <item x="7"/>
        <item x="8"/>
        <item x="9"/>
        <item x="10"/>
        <item x="11"/>
        <item x="12"/>
        <item x="13"/>
        <item t="default"/>
      </items>
    </pivotField>
    <pivotField allDrilled="1" showAll="0" sortType="descending" defaultAttributeDrillState="1">
      <items count="9">
        <item x="7"/>
        <item x="6"/>
        <item x="5"/>
        <item x="4"/>
        <item x="3"/>
        <item x="2"/>
        <item x="1"/>
        <item x="0"/>
        <item t="default"/>
      </items>
    </pivotField>
    <pivotField axis="axisRow" allDrilled="1" showAll="0" dataSourceSort="1" defaultAttributeDrillState="1">
      <items count="7">
        <item x="0"/>
        <item x="1"/>
        <item x="2"/>
        <item x="3"/>
        <item x="4"/>
        <item x="5"/>
        <item t="default"/>
      </items>
    </pivotField>
    <pivotField dataField="1" showAll="0"/>
  </pivotFields>
  <rowFields count="1">
    <field x="2"/>
  </rowFields>
  <rowItems count="7">
    <i>
      <x/>
    </i>
    <i>
      <x v="1"/>
    </i>
    <i>
      <x v="2"/>
    </i>
    <i>
      <x v="3"/>
    </i>
    <i>
      <x v="4"/>
    </i>
    <i>
      <x v="5"/>
    </i>
    <i t="grand">
      <x/>
    </i>
  </rowItems>
  <colItems count="1">
    <i/>
  </colItems>
  <dataFields count="1">
    <dataField name="Sum of Units Sold" fld="3" baseField="0" baseItem="0"/>
  </dataFields>
  <formats count="1">
    <format dxfId="12">
      <pivotArea outline="0" collapsedLevelsAreSubtotals="1" fieldPosition="0"/>
    </format>
  </formats>
  <chartFormats count="7">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Hierarchies count="22">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20" filterVal="2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Project (1) (Autosaved).xlsx!Table3">
        <x15:activeTabTopLevelEntity name="[Table3]"/>
      </x15:pivotTableUISettings>
    </ext>
  </extLst>
</pivotTableDefinition>
</file>

<file path=xl/pivotTables/pivotTable2.xml><?xml version="1.0" encoding="utf-8"?>
<pivotTableDefinition xmlns="http://schemas.openxmlformats.org/spreadsheetml/2006/main" name="PivotTable6" cacheId="1025" applyNumberFormats="0" applyBorderFormats="0" applyFontFormats="0" applyPatternFormats="0" applyAlignmentFormats="0" applyWidthHeightFormats="1" dataCaption="Values" tag="432be23e-a1e0-46ab-8cab-344ac4e56b54" updatedVersion="6" minRefreshableVersion="3" useAutoFormatting="1" subtotalHiddenItems="1" itemPrintTitles="1" createdVersion="6" indent="0" outline="1" outlineData="1" multipleFieldFilters="0" chartFormat="29">
  <location ref="I9:J24" firstHeaderRow="1" firstDataRow="1" firstDataCol="1"/>
  <pivotFields count="4">
    <pivotField axis="axisRow" allDrilled="1" showAll="0" measureFilter="1" sortType="ascending" defaultAttributeDrillState="1">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llDrilled="1" showAll="0" sortType="descending" defaultAttributeDrillState="1">
      <items count="9">
        <item x="7"/>
        <item x="6"/>
        <item x="5"/>
        <item x="4"/>
        <item x="3"/>
        <item x="2"/>
        <item x="1"/>
        <item x="0"/>
        <item t="default"/>
      </items>
    </pivotField>
    <pivotField dataField="1" showAll="0"/>
    <pivotField allDrilled="1" showAll="0" dataSourceSort="1" defaultAttributeDrillState="1"/>
  </pivotFields>
  <rowFields count="1">
    <field x="0"/>
  </rowFields>
  <rowItems count="15">
    <i>
      <x/>
    </i>
    <i>
      <x v="12"/>
    </i>
    <i>
      <x v="7"/>
    </i>
    <i>
      <x v="13"/>
    </i>
    <i>
      <x v="1"/>
    </i>
    <i>
      <x v="11"/>
    </i>
    <i>
      <x v="8"/>
    </i>
    <i>
      <x v="3"/>
    </i>
    <i>
      <x v="4"/>
    </i>
    <i>
      <x v="6"/>
    </i>
    <i>
      <x v="9"/>
    </i>
    <i>
      <x v="5"/>
    </i>
    <i>
      <x v="2"/>
    </i>
    <i>
      <x v="10"/>
    </i>
    <i t="grand">
      <x/>
    </i>
  </rowItems>
  <colItems count="1">
    <i/>
  </colItems>
  <dataFields count="1">
    <dataField name="Sum of Revenue" fld="2" baseField="0" baseItem="0"/>
  </dataFields>
  <formats count="1">
    <format dxfId="13">
      <pivotArea outline="0" collapsedLevelsAreSubtotals="1" fieldPosition="0"/>
    </format>
  </formats>
  <chartFormats count="10">
    <chartFormat chart="9"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22">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20" filterVal="2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Project (1) (Autosaved).xlsx!Table3">
        <x15:activeTabTopLevelEntity name="[Table3]"/>
      </x15:pivotTableUISettings>
    </ext>
  </extLst>
</pivotTableDefinition>
</file>

<file path=xl/pivotTables/pivotTable3.xml><?xml version="1.0" encoding="utf-8"?>
<pivotTableDefinition xmlns="http://schemas.openxmlformats.org/spreadsheetml/2006/main" name="PivotTable5" cacheId="896" applyNumberFormats="0" applyBorderFormats="0" applyFontFormats="0" applyPatternFormats="0" applyAlignmentFormats="0" applyWidthHeightFormats="1" dataCaption="Values" tag="432be23e-a1e0-46ab-8cab-344ac4e56b54" updatedVersion="6" minRefreshableVersion="3" useAutoFormatting="1" subtotalHiddenItems="1" itemPrintTitles="1" createdVersion="6" indent="0" outline="1" outlineData="1" multipleFieldFilters="0" chartFormat="29">
  <location ref="E20:G25" firstHeaderRow="0" firstDataRow="1" firstDataCol="1"/>
  <pivotFields count="5">
    <pivotField allDrilled="1" showAll="0" measureFilter="1" defaultAttributeDrillState="1">
      <items count="15">
        <item x="0"/>
        <item x="1"/>
        <item x="2"/>
        <item x="3"/>
        <item x="4"/>
        <item x="5"/>
        <item x="6"/>
        <item x="7"/>
        <item x="8"/>
        <item x="9"/>
        <item x="10"/>
        <item x="11"/>
        <item x="12"/>
        <item x="13"/>
        <item t="default"/>
      </items>
    </pivotField>
    <pivotField allDrilled="1" showAll="0" sortType="descending" defaultAttributeDrillState="1">
      <items count="9">
        <item x="7"/>
        <item x="6"/>
        <item x="5"/>
        <item x="4"/>
        <item x="3"/>
        <item x="2"/>
        <item x="1"/>
        <item x="0"/>
        <item t="default"/>
      </items>
    </pivotField>
    <pivotField dataField="1" showAll="0"/>
    <pivotField axis="axisRow" allDrilled="1" showAll="0" dataSourceSort="1" defaultAttributeDrillState="1">
      <items count="5">
        <item x="0"/>
        <item x="1"/>
        <item x="2"/>
        <item x="3"/>
        <item t="default"/>
      </items>
    </pivotField>
    <pivotField dataField="1" showAll="0"/>
  </pivotFields>
  <rowFields count="1">
    <field x="3"/>
  </rowFields>
  <rowItems count="5">
    <i>
      <x/>
    </i>
    <i>
      <x v="1"/>
    </i>
    <i>
      <x v="2"/>
    </i>
    <i>
      <x v="3"/>
    </i>
    <i t="grand">
      <x/>
    </i>
  </rowItems>
  <colFields count="1">
    <field x="-2"/>
  </colFields>
  <colItems count="2">
    <i>
      <x/>
    </i>
    <i i="1">
      <x v="1"/>
    </i>
  </colItems>
  <dataFields count="2">
    <dataField name="Sum of Revenue" fld="2" baseField="0" baseItem="0"/>
    <dataField name="Sum of Units Sold" fld="4" baseField="0" baseItem="0"/>
  </dataFields>
  <formats count="4">
    <format dxfId="17">
      <pivotArea outline="0" collapsedLevelsAreSubtotals="1" fieldPosition="0"/>
    </format>
    <format dxfId="16">
      <pivotArea field="3" grandRow="1" outline="0" collapsedLevelsAreSubtotals="1" axis="axisRow" fieldPosition="0">
        <references count="1">
          <reference field="4294967294" count="1" selected="0">
            <x v="1"/>
          </reference>
        </references>
      </pivotArea>
    </format>
    <format dxfId="15">
      <pivotArea field="3" grandRow="1" outline="0" collapsedLevelsAreSubtotals="1" axis="axisRow" fieldPosition="0">
        <references count="1">
          <reference field="4294967294" count="1" selected="0">
            <x v="1"/>
          </reference>
        </references>
      </pivotArea>
    </format>
    <format dxfId="14">
      <pivotArea field="3" grandRow="1" outline="0" collapsedLevelsAreSubtotals="1" axis="axisRow" fieldPosition="0">
        <references count="1">
          <reference field="4294967294" count="1" selected="0">
            <x v="1"/>
          </reference>
        </references>
      </pivotArea>
    </format>
  </formats>
  <chartFormats count="10">
    <chartFormat chart="9"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s>
  <pivotHierarchies count="22">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20" filterVal="20"/>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Project (1) (Autosaved).xlsx!Table3">
        <x15:activeTabTopLevelEntity name="[Table3]"/>
      </x15:pivotTableUISettings>
    </ext>
  </extLst>
</pivotTableDefinition>
</file>

<file path=xl/pivotTables/pivotTable4.xml><?xml version="1.0" encoding="utf-8"?>
<pivotTableDefinition xmlns="http://schemas.openxmlformats.org/spreadsheetml/2006/main" name="PivotTable8" cacheId="1019" applyNumberFormats="0" applyBorderFormats="0" applyFontFormats="0" applyPatternFormats="0" applyAlignmentFormats="0" applyWidthHeightFormats="1" dataCaption="Values" tag="432be23e-a1e0-46ab-8cab-344ac4e56b54" updatedVersion="6" minRefreshableVersion="3" useAutoFormatting="1" subtotalHiddenItems="1" itemPrintTitles="1" createdVersion="6" indent="0" outline="1" outlineData="1" multipleFieldFilters="0" chartFormat="37">
  <location ref="D30:E39" firstHeaderRow="1" firstDataRow="1" firstDataCol="1"/>
  <pivotFields count="4">
    <pivotField allDrilled="1" showAll="0" measureFilter="1" defaultAttributeDrillState="1">
      <items count="15">
        <item x="0"/>
        <item x="1"/>
        <item x="2"/>
        <item x="3"/>
        <item x="4"/>
        <item x="5"/>
        <item x="6"/>
        <item x="7"/>
        <item x="8"/>
        <item x="9"/>
        <item x="10"/>
        <item x="11"/>
        <item x="12"/>
        <item x="13"/>
        <item t="default"/>
      </items>
    </pivotField>
    <pivotField axis="axisRow" allDrilled="1" showAll="0" sortType="descending" defaultAttributeDrillState="1">
      <items count="9">
        <item x="7"/>
        <item x="6"/>
        <item x="5"/>
        <item x="4"/>
        <item x="3"/>
        <item x="2"/>
        <item x="1"/>
        <item x="0"/>
        <item t="default"/>
      </items>
    </pivotField>
    <pivotField dataField="1" showAll="0"/>
    <pivotField allDrilled="1" showAll="0" dataSourceSort="1" defaultAttributeDrillState="1"/>
  </pivotFields>
  <rowFields count="1">
    <field x="1"/>
  </rowFields>
  <rowItems count="9">
    <i>
      <x/>
    </i>
    <i>
      <x v="1"/>
    </i>
    <i>
      <x v="2"/>
    </i>
    <i>
      <x v="3"/>
    </i>
    <i>
      <x v="4"/>
    </i>
    <i>
      <x v="5"/>
    </i>
    <i>
      <x v="6"/>
    </i>
    <i>
      <x v="7"/>
    </i>
    <i t="grand">
      <x/>
    </i>
  </rowItems>
  <colItems count="1">
    <i/>
  </colItems>
  <dataFields count="1">
    <dataField name="Sum of Units Sold" fld="2" baseField="0" baseItem="0"/>
  </dataFields>
  <formats count="1">
    <format dxfId="18">
      <pivotArea outline="0" collapsedLevelsAreSubtotals="1" fieldPosition="0"/>
    </format>
  </formats>
  <chartFormats count="1">
    <chartFormat chart="36" format="2" series="1">
      <pivotArea type="data" outline="0" fieldPosition="0">
        <references count="1">
          <reference field="4294967294" count="1" selected="0">
            <x v="0"/>
          </reference>
        </references>
      </pivotArea>
    </chartFormat>
  </chartFormats>
  <pivotHierarchies count="22">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20" filterVal="2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Project (1) (Autosaved).xlsx!Table3">
        <x15:activeTabTopLevelEntity name="[Table3]"/>
      </x15:pivotTableUISettings>
    </ext>
  </extLst>
</pivotTableDefinition>
</file>

<file path=xl/pivotTables/pivotTable5.xml><?xml version="1.0" encoding="utf-8"?>
<pivotTableDefinition xmlns="http://schemas.openxmlformats.org/spreadsheetml/2006/main" name="PivotTable3" cacheId="890" applyNumberFormats="0" applyBorderFormats="0" applyFontFormats="0" applyPatternFormats="0" applyAlignmentFormats="0" applyWidthHeightFormats="1" dataCaption="Values" tag="432be23e-a1e0-46ab-8cab-344ac4e56b54" updatedVersion="6" minRefreshableVersion="3" useAutoFormatting="1" subtotalHiddenItems="1" itemPrintTitles="1" createdVersion="6" indent="0" outline="1" outlineData="1" multipleFieldFilters="0" chartFormat="25">
  <location ref="E9:F16" firstHeaderRow="1" firstDataRow="1" firstDataCol="1"/>
  <pivotFields count="4">
    <pivotField allDrilled="1" showAll="0" measureFilter="1" defaultAttributeDrillState="1">
      <items count="15">
        <item x="0"/>
        <item x="1"/>
        <item x="2"/>
        <item x="3"/>
        <item x="4"/>
        <item x="5"/>
        <item x="6"/>
        <item x="7"/>
        <item x="8"/>
        <item x="9"/>
        <item x="10"/>
        <item x="11"/>
        <item x="12"/>
        <item x="13"/>
        <item t="default"/>
      </items>
    </pivotField>
    <pivotField allDrilled="1" showAll="0" sortType="descending" defaultAttributeDrillState="1">
      <items count="9">
        <item x="7"/>
        <item x="6"/>
        <item x="5"/>
        <item x="4"/>
        <item x="3"/>
        <item x="2"/>
        <item x="1"/>
        <item x="0"/>
        <item t="default"/>
      </items>
    </pivotField>
    <pivotField axis="axisRow" allDrilled="1" showAll="0" dataSourceSort="1" defaultAttributeDrillState="1">
      <items count="7">
        <item x="0"/>
        <item x="1"/>
        <item x="2"/>
        <item x="3"/>
        <item x="4"/>
        <item x="5"/>
        <item t="default"/>
      </items>
    </pivotField>
    <pivotField dataField="1" showAll="0"/>
  </pivotFields>
  <rowFields count="1">
    <field x="2"/>
  </rowFields>
  <rowItems count="7">
    <i>
      <x/>
    </i>
    <i>
      <x v="1"/>
    </i>
    <i>
      <x v="2"/>
    </i>
    <i>
      <x v="3"/>
    </i>
    <i>
      <x v="4"/>
    </i>
    <i>
      <x v="5"/>
    </i>
    <i t="grand">
      <x/>
    </i>
  </rowItems>
  <colItems count="1">
    <i/>
  </colItems>
  <dataFields count="1">
    <dataField name="Sum of Revenue" fld="3" baseField="0" baseItem="0"/>
  </dataFields>
  <formats count="1">
    <format dxfId="19">
      <pivotArea outline="0" collapsedLevelsAreSubtotals="1" fieldPosition="0"/>
    </format>
  </formats>
  <chartFormats count="8">
    <chartFormat chart="9"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s>
  <pivotHierarchies count="22">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20" filterVal="2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Project (1) (Autosaved).xlsx!Table3">
        <x15:activeTabTopLevelEntity name="[Table3]"/>
      </x15:pivotTableUISettings>
    </ext>
  </extLst>
</pivotTableDefinition>
</file>

<file path=xl/pivotTables/pivotTable6.xml><?xml version="1.0" encoding="utf-8"?>
<pivotTableDefinition xmlns="http://schemas.openxmlformats.org/spreadsheetml/2006/main" name="PivotTable7" cacheId="1028" applyNumberFormats="0" applyBorderFormats="0" applyFontFormats="0" applyPatternFormats="0" applyAlignmentFormats="0" applyWidthHeightFormats="1" dataCaption="Values" tag="432be23e-a1e0-46ab-8cab-344ac4e56b54" updatedVersion="6" minRefreshableVersion="3" useAutoFormatting="1" subtotalHiddenItems="1" itemPrintTitles="1" createdVersion="6" indent="0" outline="1" outlineData="1" multipleFieldFilters="0" chartFormat="29">
  <location ref="A30:B39" firstHeaderRow="1" firstDataRow="1" firstDataCol="1"/>
  <pivotFields count="4">
    <pivotField allDrilled="1" showAll="0" measureFilter="1" defaultAttributeDrillState="1">
      <items count="15">
        <item x="0"/>
        <item x="1"/>
        <item x="2"/>
        <item x="3"/>
        <item x="4"/>
        <item x="5"/>
        <item x="6"/>
        <item x="7"/>
        <item x="8"/>
        <item x="9"/>
        <item x="10"/>
        <item x="11"/>
        <item x="12"/>
        <item x="13"/>
        <item t="default"/>
      </items>
    </pivotField>
    <pivotField axis="axisRow" allDrilled="1" showAll="0" sortType="descending" defaultAttributeDrillState="1">
      <items count="9">
        <item x="7"/>
        <item x="6"/>
        <item x="5"/>
        <item x="4"/>
        <item x="3"/>
        <item x="2"/>
        <item x="1"/>
        <item x="0"/>
        <item t="default"/>
      </items>
    </pivotField>
    <pivotField dataField="1" showAll="0"/>
    <pivotField allDrilled="1" showAll="0" dataSourceSort="1" defaultAttributeDrillState="1"/>
  </pivotFields>
  <rowFields count="1">
    <field x="1"/>
  </rowFields>
  <rowItems count="9">
    <i>
      <x/>
    </i>
    <i>
      <x v="1"/>
    </i>
    <i>
      <x v="2"/>
    </i>
    <i>
      <x v="3"/>
    </i>
    <i>
      <x v="4"/>
    </i>
    <i>
      <x v="5"/>
    </i>
    <i>
      <x v="6"/>
    </i>
    <i>
      <x v="7"/>
    </i>
    <i t="grand">
      <x/>
    </i>
  </rowItems>
  <colItems count="1">
    <i/>
  </colItems>
  <dataFields count="1">
    <dataField name="Sum of Revenue" fld="2" baseField="0" baseItem="0"/>
  </dataFields>
  <formats count="1">
    <format dxfId="20">
      <pivotArea outline="0" collapsedLevelsAreSubtotals="1" fieldPosition="0"/>
    </format>
  </formats>
  <chartFormats count="9">
    <chartFormat chart="9"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22">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20" filterVal="2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Project (1) (Autosaved).xlsx!Table3">
        <x15:activeTabTopLevelEntity name="[Table3]"/>
      </x15:pivotTableUISettings>
    </ext>
  </extLst>
</pivotTableDefinition>
</file>

<file path=xl/pivotTables/pivotTable7.xml><?xml version="1.0" encoding="utf-8"?>
<pivotTableDefinition xmlns="http://schemas.openxmlformats.org/spreadsheetml/2006/main" name="PivotTable2" cacheId="887" applyNumberFormats="0" applyBorderFormats="0" applyFontFormats="0" applyPatternFormats="0" applyAlignmentFormats="0" applyWidthHeightFormats="1" dataCaption="Values" tag="342b9f2c-33af-4731-b23a-b9d00e869d8e" updatedVersion="6" minRefreshableVersion="3" useAutoFormatting="1" subtotalHiddenItems="1" itemPrintTitles="1" createdVersion="6" indent="0" outline="1" outlineData="1" multipleFieldFilters="0" chartFormat="9">
  <location ref="A8:C17" firstHeaderRow="0" firstDataRow="1" firstDataCol="1"/>
  <pivotFields count="4">
    <pivotField dataField="1" showAll="0"/>
    <pivotField allDrilled="1" showAll="0" measureFilter="1" sortType="ascending" defaultAttributeDrillState="1">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dataField="1" showAll="0"/>
    <pivotField axis="axisRow" allDrilled="1" showAll="0" sortType="descending" defaultAttributeDrillState="1">
      <items count="9">
        <item x="7"/>
        <item x="6"/>
        <item x="5"/>
        <item x="4"/>
        <item x="3"/>
        <item x="2"/>
        <item x="1"/>
        <item x="0"/>
        <item t="default"/>
      </items>
    </pivotField>
  </pivotFields>
  <rowFields count="1">
    <field x="3"/>
  </rowFields>
  <rowItems count="9">
    <i>
      <x/>
    </i>
    <i>
      <x v="1"/>
    </i>
    <i>
      <x v="2"/>
    </i>
    <i>
      <x v="3"/>
    </i>
    <i>
      <x v="4"/>
    </i>
    <i>
      <x v="5"/>
    </i>
    <i>
      <x v="6"/>
    </i>
    <i>
      <x v="7"/>
    </i>
    <i t="grand">
      <x/>
    </i>
  </rowItems>
  <colFields count="1">
    <field x="-2"/>
  </colFields>
  <colItems count="2">
    <i>
      <x/>
    </i>
    <i i="1">
      <x v="1"/>
    </i>
  </colItems>
  <dataFields count="2">
    <dataField name="Sum of Revenue" fld="0" baseField="0" baseItem="0" numFmtId="164"/>
    <dataField name="Sum of Units Sold" fld="2" baseField="0" baseItem="0"/>
  </dataFields>
  <formats count="1">
    <format dxfId="21">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Hierarchies count="22">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0">
      <autoFilter ref="A1">
        <filterColumn colId="0">
          <top10 val="20" filterVal="20"/>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Project (1) (Autosaved).xlsx!Table3">
        <x15:activeTabTopLevelEntity name="[Table3]"/>
      </x15:pivotTableUISettings>
    </ext>
  </extLst>
</pivotTableDefinition>
</file>

<file path=xl/pivotTables/pivotTable8.xml><?xml version="1.0" encoding="utf-8"?>
<pivotTableDefinition xmlns="http://schemas.openxmlformats.org/spreadsheetml/2006/main" name="PivotTable1" cacheId="1022" applyNumberFormats="0" applyBorderFormats="0" applyFontFormats="0" applyPatternFormats="0" applyAlignmentFormats="0" applyWidthHeightFormats="1" dataCaption="Values" tag="2b22d155-884a-4180-bad0-aaca0c8e3143" updatedVersion="6" minRefreshableVersion="3" useAutoFormatting="1" subtotalHiddenItems="1" itemPrintTitles="1" createdVersion="6" indent="0" outline="1" outlineData="1" multipleFieldFilters="0">
  <location ref="A3:D4" firstHeaderRow="0" firstDataRow="1" firstDataCol="0"/>
  <pivotFields count="5">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4">
    <i>
      <x/>
    </i>
    <i i="1">
      <x v="1"/>
    </i>
    <i i="2">
      <x v="2"/>
    </i>
    <i i="3">
      <x v="3"/>
    </i>
  </colItems>
  <dataFields count="4">
    <dataField name="Sum of Units Sold" fld="0" baseField="0" baseItem="0"/>
    <dataField name="Sum of Revenue" fld="2" baseField="0" baseItem="0"/>
    <dataField name="Distinct Count of Customer" fld="1" subtotal="count" baseField="0" baseItem="1">
      <extLst>
        <ext xmlns:x15="http://schemas.microsoft.com/office/spreadsheetml/2010/11/main" uri="{FABC7310-3BB5-11E1-824E-6D434824019B}">
          <x15:dataField isCountDistinct="1"/>
        </ext>
      </extLst>
    </dataField>
    <dataField name="Average of Unit Price" fld="3" subtotal="average" baseField="0" baseItem="2" numFmtId="165"/>
  </dataFields>
  <formats count="3">
    <format dxfId="24">
      <pivotArea outline="0" collapsedLevelsAreSubtotals="1" fieldPosition="0">
        <references count="1">
          <reference field="4294967294" count="1" selected="0">
            <x v="3"/>
          </reference>
        </references>
      </pivotArea>
    </format>
    <format dxfId="23">
      <pivotArea outline="0" collapsedLevelsAreSubtotals="1" fieldPosition="0">
        <references count="1">
          <reference field="4294967294" count="1" selected="0">
            <x v="3"/>
          </reference>
        </references>
      </pivotArea>
    </format>
    <format dxfId="22">
      <pivotArea outline="0" collapsedLevelsAreSubtotals="1" fieldPosition="0">
        <references count="1">
          <reference field="4294967294" count="1" selected="0">
            <x v="3"/>
          </reference>
        </references>
      </pivotArea>
    </format>
  </formats>
  <pivotHierarchies count="22">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Project (1) (Autosaved).xlsx!Table3">
        <x15:activeTabTopLevelEntity name="[Table3]"/>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__Month" sourceName="[Table3].[Date (Month)]">
  <pivotTables>
    <pivotTable tabId="5" name="PivotTable1"/>
    <pivotTable tabId="5" name="PivotTable6"/>
    <pivotTable tabId="5" name="PivotTable7"/>
    <pivotTable tabId="5" name="PivotTable8"/>
  </pivotTables>
  <data>
    <olap pivotCacheId="1">
      <levels count="2">
        <level uniqueName="[Table3].[Date (Month)].[(All)]" sourceCaption="(All)" count="0"/>
        <level uniqueName="[Table3].[Date (Month)].[Date (Month)]" sourceCaption="Date (Month)" count="6">
          <ranges>
            <range startItem="0">
              <i n="[Table3].[Date (Month)].&amp;[Jan]" c="Jan"/>
              <i n="[Table3].[Date (Month)].&amp;[Feb]" c="Feb"/>
              <i n="[Table3].[Date (Month)].&amp;[Mar]" c="Mar"/>
              <i n="[Table3].[Date (Month)].&amp;[Apr]" c="Apr"/>
              <i n="[Table3].[Date (Month)].&amp;[May]" c="May"/>
              <i n="[Table3].[Date (Month)].&amp;[Jun]" c="Jun"/>
            </range>
          </ranges>
        </level>
      </levels>
      <selections count="1">
        <selection n="[Table3].[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Table3].[Category]">
  <pivotTables>
    <pivotTable tabId="5" name="PivotTable8"/>
    <pivotTable tabId="5" name="PivotTable1"/>
    <pivotTable tabId="5" name="PivotTable6"/>
    <pivotTable tabId="5" name="PivotTable7"/>
  </pivotTables>
  <data>
    <olap pivotCacheId="1">
      <levels count="2">
        <level uniqueName="[Table3].[Category].[(All)]" sourceCaption="(All)" count="0"/>
        <level uniqueName="[Table3].[Category].[Category]" sourceCaption="Category" count="6">
          <ranges>
            <range startItem="0">
              <i n="[Table3].[Category].&amp;[Audio]" c="Audio"/>
              <i n="[Table3].[Category].&amp;[Computers]" c="Computers"/>
              <i n="[Table3].[Category].&amp;[Electronics]" c="Electronics"/>
              <i n="[Table3].[Category].&amp;[Mobile]" c="Mobile"/>
              <i n="[Table3].[Category].&amp;[Peripherals]" c="Peripherals"/>
              <i n="[Table3].[Category].&amp;[Photography]" c="Photography"/>
            </range>
          </ranges>
        </level>
      </levels>
      <selections count="1">
        <selection n="[Table3].[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Table3].[Product]">
  <pivotTables>
    <pivotTable tabId="5" name="PivotTable8"/>
    <pivotTable tabId="5" name="PivotTable1"/>
    <pivotTable tabId="5" name="PivotTable2"/>
    <pivotTable tabId="5" name="PivotTable3"/>
    <pivotTable tabId="5" name="PivotTable4"/>
    <pivotTable tabId="5" name="PivotTable5"/>
  </pivotTables>
  <data>
    <olap pivotCacheId="1">
      <levels count="2">
        <level uniqueName="[Table3].[Product].[(All)]" sourceCaption="(All)" count="0"/>
        <level uniqueName="[Table3].[Product].[Product]" sourceCaption="Product" count="8">
          <ranges>
            <range startItem="0">
              <i n="[Table3].[Product].&amp;[Camera C100]" c="Camera C100"/>
              <i n="[Table3].[Product].&amp;[Laptop A15]" c="Laptop A15"/>
              <i n="[Table3].[Product].&amp;[Monitor M24]" c="Monitor M24"/>
              <i n="[Table3].[Product].&amp;[Phone X12]" c="Phone X12"/>
              <i n="[Table3].[Product].&amp;[Speaker S10]" c="Speaker S10"/>
              <i n="[Table3].[Product].&amp;[Tablet T8]" c="Tablet T8"/>
              <i n="[Table3].[Product].&amp;[Tv 43Q]" c="Tv 43Q"/>
              <i n="[Table3].[Product].&amp;[Unknown]" c="Unknown"/>
            </range>
          </ranges>
        </level>
      </levels>
      <selections count="1">
        <selection n="[Table3].[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Month)" cache="Slicer_Date__Month" caption="Date (Month)" columnCount="6" showCaption="0" level="1" style="Slicer" rowHeight="274320"/>
  <slicer name="Product" cache="Slicer_Product" caption="Product" columnCount="8" showCaption="0" level="1" style="Slice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Date (Month) 1" cache="Slicer_Date__Month" caption="Date (Month)" columnCount="6" showCaption="0" level="1" style="Slicer" rowHeight="274320"/>
  <slicer name="Category" cache="Slicer_Category" caption="Category" columnCount="6" showCaption="0" level="1" style="Slicer" rowHeight="234950"/>
</slicers>
</file>

<file path=xl/tables/table1.xml><?xml version="1.0" encoding="utf-8"?>
<table xmlns="http://schemas.openxmlformats.org/spreadsheetml/2006/main" id="3" name="Table3" displayName="Table3" ref="A1:I101" totalsRowShown="0" headerRowDxfId="11" dataDxfId="10" tableBorderDxfId="9">
  <autoFilter ref="A1:I101"/>
  <tableColumns count="9">
    <tableColumn id="1" name="Units Sold" dataDxfId="8"/>
    <tableColumn id="2" name="Unit Price" dataDxfId="7"/>
    <tableColumn id="3" name="Date" dataDxfId="6"/>
    <tableColumn id="4" name="Product" dataDxfId="5"/>
    <tableColumn id="5" name="Category" dataDxfId="4"/>
    <tableColumn id="6" name="Sales Rep" dataDxfId="3"/>
    <tableColumn id="7" name="Customer" dataDxfId="2"/>
    <tableColumn id="8" name="Region" dataDxfId="1"/>
    <tableColumn id="10" name="Revenue" dataDxfId="0">
      <calculatedColumnFormula>Table3[[#This Row],[Units Sold]]*Table3[[#This Row],[Unit Price]]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workbookViewId="0"/>
  </sheetViews>
  <sheetFormatPr defaultColWidth="0" defaultRowHeight="14.4" zeroHeight="1" x14ac:dyDescent="0.3"/>
  <cols>
    <col min="1" max="1" width="3.44140625" style="1" customWidth="1"/>
    <col min="2" max="15" width="8.77734375" style="1" customWidth="1"/>
    <col min="16" max="16384" width="8.77734375" style="1" hidden="1"/>
  </cols>
  <sheetData>
    <row r="1" spans="2:14" x14ac:dyDescent="0.3"/>
    <row r="2" spans="2:14" ht="34.200000000000003" thickBot="1" x14ac:dyDescent="0.7">
      <c r="B2" s="2" t="s">
        <v>43</v>
      </c>
      <c r="C2" s="3"/>
      <c r="D2" s="3"/>
      <c r="E2" s="3"/>
      <c r="F2" s="3"/>
      <c r="G2" s="3"/>
      <c r="H2" s="3"/>
      <c r="I2" s="3"/>
      <c r="J2" s="3"/>
      <c r="K2" s="3"/>
      <c r="L2" s="3"/>
      <c r="M2" s="3"/>
      <c r="N2" s="3"/>
    </row>
    <row r="3" spans="2:14" x14ac:dyDescent="0.3"/>
    <row r="4" spans="2:14" x14ac:dyDescent="0.3"/>
    <row r="5" spans="2:14" x14ac:dyDescent="0.3"/>
    <row r="6" spans="2:14" x14ac:dyDescent="0.3"/>
    <row r="7" spans="2:14" x14ac:dyDescent="0.3"/>
    <row r="8" spans="2:14" x14ac:dyDescent="0.3"/>
    <row r="9" spans="2:14" x14ac:dyDescent="0.3"/>
    <row r="10" spans="2:14" x14ac:dyDescent="0.3"/>
    <row r="11" spans="2:14" x14ac:dyDescent="0.3"/>
    <row r="12" spans="2:14" x14ac:dyDescent="0.3"/>
    <row r="13" spans="2:14" x14ac:dyDescent="0.3"/>
    <row r="14" spans="2:14" x14ac:dyDescent="0.3"/>
    <row r="15" spans="2:14" x14ac:dyDescent="0.3"/>
    <row r="17" hidden="1" x14ac:dyDescent="0.3"/>
    <row r="18" hidden="1" x14ac:dyDescent="0.3"/>
    <row r="19" hidden="1" x14ac:dyDescent="0.3"/>
    <row r="20" hidden="1" x14ac:dyDescent="0.3"/>
    <row r="21" hidden="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activeCell="I16" sqref="I16"/>
    </sheetView>
  </sheetViews>
  <sheetFormatPr defaultRowHeight="14.4" x14ac:dyDescent="0.3"/>
  <cols>
    <col min="1" max="9" width="18.88671875" customWidth="1"/>
  </cols>
  <sheetData>
    <row r="1" spans="1:8" x14ac:dyDescent="0.3">
      <c r="A1" s="22" t="s">
        <v>0</v>
      </c>
      <c r="B1" s="22" t="s">
        <v>1</v>
      </c>
      <c r="C1" s="22" t="s">
        <v>2</v>
      </c>
      <c r="D1" s="22" t="s">
        <v>3</v>
      </c>
      <c r="E1" s="22" t="s">
        <v>4</v>
      </c>
      <c r="F1" s="22" t="s">
        <v>5</v>
      </c>
      <c r="G1" s="22" t="s">
        <v>6</v>
      </c>
      <c r="H1" s="22" t="s">
        <v>7</v>
      </c>
    </row>
    <row r="2" spans="1:8" x14ac:dyDescent="0.3">
      <c r="A2" s="23">
        <v>45821</v>
      </c>
      <c r="B2" s="24" t="s">
        <v>8</v>
      </c>
      <c r="C2" s="24" t="s">
        <v>64</v>
      </c>
      <c r="D2" s="24" t="s">
        <v>65</v>
      </c>
      <c r="E2" s="24">
        <v>8</v>
      </c>
      <c r="F2" s="24">
        <v>2500000</v>
      </c>
      <c r="G2" s="24" t="s">
        <v>66</v>
      </c>
      <c r="H2" s="24" t="s">
        <v>67</v>
      </c>
    </row>
    <row r="3" spans="1:8" x14ac:dyDescent="0.3">
      <c r="A3" s="23">
        <v>45755</v>
      </c>
      <c r="B3" s="24" t="s">
        <v>68</v>
      </c>
      <c r="C3" s="24" t="s">
        <v>69</v>
      </c>
      <c r="D3" s="24" t="s">
        <v>70</v>
      </c>
      <c r="E3" s="24">
        <v>6</v>
      </c>
      <c r="F3" s="24">
        <v>350000</v>
      </c>
      <c r="G3" s="24" t="s">
        <v>71</v>
      </c>
      <c r="H3" s="24" t="s">
        <v>9</v>
      </c>
    </row>
    <row r="4" spans="1:8" x14ac:dyDescent="0.3">
      <c r="A4" s="23">
        <v>45686</v>
      </c>
      <c r="B4" s="24" t="s">
        <v>10</v>
      </c>
      <c r="C4" s="24" t="s">
        <v>72</v>
      </c>
      <c r="D4" s="24" t="s">
        <v>11</v>
      </c>
      <c r="E4" s="24">
        <v>14</v>
      </c>
      <c r="F4" s="24">
        <v>180000</v>
      </c>
      <c r="G4" s="24" t="s">
        <v>73</v>
      </c>
      <c r="H4" s="24" t="s">
        <v>74</v>
      </c>
    </row>
    <row r="5" spans="1:8" x14ac:dyDescent="0.3">
      <c r="A5" s="24" t="s">
        <v>75</v>
      </c>
      <c r="B5" s="24" t="s">
        <v>76</v>
      </c>
      <c r="C5" s="24" t="s">
        <v>77</v>
      </c>
      <c r="D5" s="24" t="s">
        <v>78</v>
      </c>
      <c r="E5" s="24">
        <v>18</v>
      </c>
      <c r="F5" s="24">
        <v>65000</v>
      </c>
      <c r="G5" s="24" t="s">
        <v>79</v>
      </c>
      <c r="H5" s="24" t="s">
        <v>80</v>
      </c>
    </row>
    <row r="6" spans="1:8" x14ac:dyDescent="0.3">
      <c r="A6" s="24" t="s">
        <v>81</v>
      </c>
      <c r="B6" s="24" t="s">
        <v>82</v>
      </c>
      <c r="C6" s="24" t="s">
        <v>83</v>
      </c>
      <c r="D6" s="24" t="s">
        <v>84</v>
      </c>
      <c r="E6" s="24">
        <v>5</v>
      </c>
      <c r="F6" s="24">
        <v>180000</v>
      </c>
      <c r="G6" s="24" t="s">
        <v>85</v>
      </c>
      <c r="H6" s="24" t="s">
        <v>86</v>
      </c>
    </row>
    <row r="7" spans="1:8" x14ac:dyDescent="0.3">
      <c r="A7" s="24" t="s">
        <v>87</v>
      </c>
      <c r="B7" s="24" t="s">
        <v>88</v>
      </c>
      <c r="C7" s="24" t="s">
        <v>83</v>
      </c>
      <c r="D7" s="24" t="s">
        <v>89</v>
      </c>
      <c r="E7" s="24">
        <v>19</v>
      </c>
      <c r="F7" s="24">
        <v>157427</v>
      </c>
      <c r="G7" s="24" t="s">
        <v>90</v>
      </c>
      <c r="H7" s="24" t="s">
        <v>91</v>
      </c>
    </row>
    <row r="8" spans="1:8" x14ac:dyDescent="0.3">
      <c r="A8" s="24" t="s">
        <v>92</v>
      </c>
      <c r="B8" s="24" t="s">
        <v>93</v>
      </c>
      <c r="C8" s="24" t="s">
        <v>94</v>
      </c>
      <c r="D8" s="24" t="s">
        <v>95</v>
      </c>
      <c r="E8" s="24">
        <v>3</v>
      </c>
      <c r="F8" s="24">
        <v>350000</v>
      </c>
      <c r="G8" s="24" t="s">
        <v>96</v>
      </c>
      <c r="H8" s="24" t="s">
        <v>97</v>
      </c>
    </row>
    <row r="9" spans="1:8" x14ac:dyDescent="0.3">
      <c r="A9" s="24" t="s">
        <v>98</v>
      </c>
      <c r="B9" s="24" t="s">
        <v>99</v>
      </c>
      <c r="C9" s="24" t="s">
        <v>100</v>
      </c>
      <c r="D9" s="24" t="s">
        <v>101</v>
      </c>
      <c r="E9" s="24">
        <v>2</v>
      </c>
      <c r="F9" s="24">
        <v>65000</v>
      </c>
      <c r="G9" s="24" t="s">
        <v>102</v>
      </c>
      <c r="H9" s="24" t="s">
        <v>103</v>
      </c>
    </row>
    <row r="10" spans="1:8" x14ac:dyDescent="0.3">
      <c r="A10" s="24" t="s">
        <v>104</v>
      </c>
      <c r="B10" s="24" t="s">
        <v>105</v>
      </c>
      <c r="C10" s="24" t="s">
        <v>106</v>
      </c>
      <c r="D10" s="24" t="s">
        <v>107</v>
      </c>
      <c r="E10" s="24">
        <v>14</v>
      </c>
      <c r="F10" s="24">
        <v>175000</v>
      </c>
      <c r="G10" s="24" t="s">
        <v>108</v>
      </c>
      <c r="H10" s="24" t="s">
        <v>109</v>
      </c>
    </row>
    <row r="11" spans="1:8" x14ac:dyDescent="0.3">
      <c r="A11" s="24" t="s">
        <v>110</v>
      </c>
      <c r="B11" s="24" t="s">
        <v>12</v>
      </c>
      <c r="C11" s="24" t="s">
        <v>111</v>
      </c>
      <c r="D11" s="24" t="s">
        <v>112</v>
      </c>
      <c r="E11" s="24">
        <v>4</v>
      </c>
      <c r="F11" s="24">
        <v>150000</v>
      </c>
      <c r="G11" s="24" t="s">
        <v>113</v>
      </c>
      <c r="H11" s="24" t="s">
        <v>13</v>
      </c>
    </row>
    <row r="12" spans="1:8" x14ac:dyDescent="0.3">
      <c r="A12" s="24" t="s">
        <v>114</v>
      </c>
      <c r="B12" s="24" t="s">
        <v>115</v>
      </c>
      <c r="C12" s="24" t="s">
        <v>116</v>
      </c>
      <c r="D12" s="24" t="s">
        <v>117</v>
      </c>
      <c r="E12" s="24">
        <v>20</v>
      </c>
      <c r="F12" s="24">
        <v>150000</v>
      </c>
      <c r="G12" s="24" t="s">
        <v>118</v>
      </c>
      <c r="H12" s="24" t="s">
        <v>119</v>
      </c>
    </row>
    <row r="13" spans="1:8" x14ac:dyDescent="0.3">
      <c r="A13" s="24" t="s">
        <v>120</v>
      </c>
      <c r="B13" s="24" t="s">
        <v>14</v>
      </c>
      <c r="C13" s="24" t="s">
        <v>121</v>
      </c>
      <c r="D13" s="24" t="s">
        <v>122</v>
      </c>
      <c r="E13" s="24">
        <v>6</v>
      </c>
      <c r="F13" s="24">
        <v>85000</v>
      </c>
      <c r="G13" s="24" t="s">
        <v>15</v>
      </c>
      <c r="H13" s="24" t="s">
        <v>16</v>
      </c>
    </row>
    <row r="14" spans="1:8" x14ac:dyDescent="0.3">
      <c r="A14" s="24" t="s">
        <v>123</v>
      </c>
      <c r="B14" s="24" t="s">
        <v>93</v>
      </c>
      <c r="C14" s="24" t="s">
        <v>124</v>
      </c>
      <c r="D14" s="24" t="s">
        <v>17</v>
      </c>
      <c r="E14" s="24">
        <v>1</v>
      </c>
      <c r="F14" s="24">
        <v>150000</v>
      </c>
      <c r="G14" s="24" t="s">
        <v>125</v>
      </c>
      <c r="H14" s="24" t="s">
        <v>126</v>
      </c>
    </row>
    <row r="15" spans="1:8" x14ac:dyDescent="0.3">
      <c r="A15" s="24" t="s">
        <v>127</v>
      </c>
      <c r="B15" s="24" t="s">
        <v>128</v>
      </c>
      <c r="C15" s="24" t="s">
        <v>129</v>
      </c>
      <c r="D15" s="24" t="s">
        <v>70</v>
      </c>
      <c r="E15" s="24">
        <v>18</v>
      </c>
      <c r="F15" s="24">
        <v>35000</v>
      </c>
      <c r="G15" s="24" t="s">
        <v>130</v>
      </c>
      <c r="H15" s="24" t="s">
        <v>131</v>
      </c>
    </row>
    <row r="16" spans="1:8" x14ac:dyDescent="0.3">
      <c r="A16" s="24" t="s">
        <v>132</v>
      </c>
      <c r="B16" s="24" t="s">
        <v>133</v>
      </c>
      <c r="C16" s="24" t="s">
        <v>134</v>
      </c>
      <c r="D16" s="24" t="s">
        <v>135</v>
      </c>
      <c r="E16" s="24">
        <v>2</v>
      </c>
      <c r="F16" s="24">
        <v>85000</v>
      </c>
      <c r="G16" s="24" t="s">
        <v>136</v>
      </c>
      <c r="H16" s="24" t="s">
        <v>137</v>
      </c>
    </row>
    <row r="17" spans="1:8" x14ac:dyDescent="0.3">
      <c r="A17" s="24" t="s">
        <v>138</v>
      </c>
      <c r="B17" s="24" t="s">
        <v>139</v>
      </c>
      <c r="C17" s="24" t="s">
        <v>140</v>
      </c>
      <c r="D17" s="24" t="s">
        <v>141</v>
      </c>
      <c r="E17" s="24">
        <v>11</v>
      </c>
      <c r="F17" s="24">
        <v>62035</v>
      </c>
      <c r="G17" s="24" t="s">
        <v>142</v>
      </c>
      <c r="H17" s="24" t="s">
        <v>143</v>
      </c>
    </row>
    <row r="18" spans="1:8" x14ac:dyDescent="0.3">
      <c r="A18" s="24" t="s">
        <v>144</v>
      </c>
      <c r="B18" s="24" t="s">
        <v>18</v>
      </c>
      <c r="C18" s="24" t="s">
        <v>145</v>
      </c>
      <c r="D18" s="24" t="s">
        <v>146</v>
      </c>
      <c r="E18" s="24">
        <v>10</v>
      </c>
      <c r="F18" s="24">
        <v>175000</v>
      </c>
      <c r="G18" s="24" t="s">
        <v>147</v>
      </c>
      <c r="H18" s="24" t="s">
        <v>16</v>
      </c>
    </row>
    <row r="19" spans="1:8" x14ac:dyDescent="0.3">
      <c r="A19" s="24" t="s">
        <v>148</v>
      </c>
      <c r="B19" s="24" t="s">
        <v>149</v>
      </c>
      <c r="C19" s="24" t="s">
        <v>19</v>
      </c>
      <c r="D19" s="24" t="s">
        <v>89</v>
      </c>
      <c r="E19" s="24">
        <v>4</v>
      </c>
      <c r="F19" s="24">
        <v>150000</v>
      </c>
      <c r="G19" s="24" t="s">
        <v>150</v>
      </c>
      <c r="H19" s="24" t="s">
        <v>151</v>
      </c>
    </row>
    <row r="20" spans="1:8" x14ac:dyDescent="0.3">
      <c r="A20" s="24" t="s">
        <v>152</v>
      </c>
      <c r="B20" s="24" t="s">
        <v>12</v>
      </c>
      <c r="C20" s="24" t="s">
        <v>153</v>
      </c>
      <c r="D20" s="24" t="s">
        <v>20</v>
      </c>
      <c r="E20" s="24">
        <v>3</v>
      </c>
      <c r="F20" s="24">
        <v>175000</v>
      </c>
      <c r="G20" s="24" t="s">
        <v>154</v>
      </c>
      <c r="H20" s="24" t="s">
        <v>21</v>
      </c>
    </row>
    <row r="21" spans="1:8" x14ac:dyDescent="0.3">
      <c r="A21" s="24" t="s">
        <v>155</v>
      </c>
      <c r="B21" s="24" t="s">
        <v>156</v>
      </c>
      <c r="C21" s="24" t="s">
        <v>157</v>
      </c>
      <c r="D21" s="24" t="s">
        <v>20</v>
      </c>
      <c r="E21" s="24">
        <v>5</v>
      </c>
      <c r="F21" s="24">
        <v>175000</v>
      </c>
      <c r="G21" s="24" t="s">
        <v>22</v>
      </c>
      <c r="H21" s="24" t="s">
        <v>21</v>
      </c>
    </row>
    <row r="22" spans="1:8" x14ac:dyDescent="0.3">
      <c r="A22" s="24" t="s">
        <v>158</v>
      </c>
      <c r="B22" s="24" t="s">
        <v>159</v>
      </c>
      <c r="C22" s="24" t="s">
        <v>23</v>
      </c>
      <c r="D22" s="24" t="s">
        <v>24</v>
      </c>
      <c r="E22" s="24">
        <v>20</v>
      </c>
      <c r="F22" s="24">
        <v>250000</v>
      </c>
      <c r="G22" s="24" t="s">
        <v>160</v>
      </c>
      <c r="H22" s="24" t="s">
        <v>91</v>
      </c>
    </row>
    <row r="23" spans="1:8" x14ac:dyDescent="0.3">
      <c r="A23" s="24" t="s">
        <v>161</v>
      </c>
      <c r="B23" s="24" t="s">
        <v>18</v>
      </c>
      <c r="C23" s="24" t="s">
        <v>162</v>
      </c>
      <c r="D23" s="24" t="s">
        <v>163</v>
      </c>
      <c r="E23" s="24">
        <v>2</v>
      </c>
      <c r="F23" s="24">
        <v>175000</v>
      </c>
      <c r="G23" s="24" t="s">
        <v>164</v>
      </c>
      <c r="H23" s="24" t="s">
        <v>165</v>
      </c>
    </row>
    <row r="24" spans="1:8" x14ac:dyDescent="0.3">
      <c r="A24" s="24" t="s">
        <v>166</v>
      </c>
      <c r="B24" s="24" t="s">
        <v>167</v>
      </c>
      <c r="C24" s="24" t="s">
        <v>168</v>
      </c>
      <c r="D24" s="24" t="s">
        <v>169</v>
      </c>
      <c r="E24" s="24">
        <v>20</v>
      </c>
      <c r="F24" s="24">
        <v>150000</v>
      </c>
      <c r="G24" s="24" t="s">
        <v>147</v>
      </c>
      <c r="H24" s="24" t="s">
        <v>25</v>
      </c>
    </row>
    <row r="25" spans="1:8" x14ac:dyDescent="0.3">
      <c r="A25" s="24" t="s">
        <v>170</v>
      </c>
      <c r="B25" s="24" t="s">
        <v>171</v>
      </c>
      <c r="C25" s="24" t="s">
        <v>172</v>
      </c>
      <c r="D25" s="24" t="s">
        <v>173</v>
      </c>
      <c r="E25" s="24">
        <v>8</v>
      </c>
      <c r="F25" s="24">
        <v>150000</v>
      </c>
      <c r="G25" s="24" t="s">
        <v>174</v>
      </c>
      <c r="H25" s="24" t="s">
        <v>175</v>
      </c>
    </row>
    <row r="26" spans="1:8" x14ac:dyDescent="0.3">
      <c r="A26" s="24" t="s">
        <v>176</v>
      </c>
      <c r="B26" s="24" t="s">
        <v>177</v>
      </c>
      <c r="C26" s="24" t="s">
        <v>26</v>
      </c>
      <c r="D26" s="24" t="s">
        <v>178</v>
      </c>
      <c r="E26" s="24">
        <v>19</v>
      </c>
      <c r="F26" s="24">
        <v>250000</v>
      </c>
      <c r="G26" s="24" t="s">
        <v>179</v>
      </c>
      <c r="H26" s="24" t="s">
        <v>180</v>
      </c>
    </row>
    <row r="27" spans="1:8" x14ac:dyDescent="0.3">
      <c r="A27" s="24" t="s">
        <v>181</v>
      </c>
      <c r="B27" s="24" t="s">
        <v>182</v>
      </c>
      <c r="C27" s="24" t="s">
        <v>183</v>
      </c>
      <c r="D27" s="24" t="s">
        <v>184</v>
      </c>
      <c r="E27" s="24">
        <v>12</v>
      </c>
      <c r="F27" s="24">
        <v>175000</v>
      </c>
      <c r="G27" s="24" t="s">
        <v>185</v>
      </c>
      <c r="H27" s="24" t="s">
        <v>16</v>
      </c>
    </row>
    <row r="28" spans="1:8" x14ac:dyDescent="0.3">
      <c r="A28" s="24" t="s">
        <v>186</v>
      </c>
      <c r="B28" s="24" t="s">
        <v>187</v>
      </c>
      <c r="C28" s="24" t="s">
        <v>188</v>
      </c>
      <c r="D28" s="24" t="s">
        <v>189</v>
      </c>
      <c r="E28" s="24">
        <v>11</v>
      </c>
      <c r="F28" s="24">
        <v>85000</v>
      </c>
      <c r="G28" s="24" t="s">
        <v>190</v>
      </c>
      <c r="H28" s="24" t="s">
        <v>191</v>
      </c>
    </row>
    <row r="29" spans="1:8" x14ac:dyDescent="0.3">
      <c r="A29" s="24" t="s">
        <v>192</v>
      </c>
      <c r="B29" s="24" t="s">
        <v>171</v>
      </c>
      <c r="C29" s="24" t="s">
        <v>193</v>
      </c>
      <c r="D29" s="24" t="s">
        <v>194</v>
      </c>
      <c r="E29" s="24">
        <v>17</v>
      </c>
      <c r="F29" s="24">
        <v>65000</v>
      </c>
      <c r="G29" s="24" t="s">
        <v>22</v>
      </c>
      <c r="H29" s="24" t="s">
        <v>195</v>
      </c>
    </row>
    <row r="30" spans="1:8" x14ac:dyDescent="0.3">
      <c r="A30" s="24" t="s">
        <v>196</v>
      </c>
      <c r="B30" s="24" t="s">
        <v>197</v>
      </c>
      <c r="C30" s="24" t="s">
        <v>198</v>
      </c>
      <c r="D30" s="24" t="s">
        <v>199</v>
      </c>
      <c r="E30" s="24">
        <v>15</v>
      </c>
      <c r="F30" s="24">
        <v>350000</v>
      </c>
      <c r="G30" s="24" t="s">
        <v>46</v>
      </c>
      <c r="H30" s="24" t="s">
        <v>200</v>
      </c>
    </row>
    <row r="31" spans="1:8" x14ac:dyDescent="0.3">
      <c r="A31" s="24" t="s">
        <v>201</v>
      </c>
      <c r="B31" s="24" t="s">
        <v>99</v>
      </c>
      <c r="C31" s="24" t="s">
        <v>69</v>
      </c>
      <c r="D31" s="24" t="s">
        <v>27</v>
      </c>
      <c r="E31" s="24">
        <v>8</v>
      </c>
      <c r="F31" s="24">
        <v>350000</v>
      </c>
      <c r="G31" s="24" t="s">
        <v>202</v>
      </c>
      <c r="H31" s="24" t="s">
        <v>203</v>
      </c>
    </row>
    <row r="32" spans="1:8" x14ac:dyDescent="0.3">
      <c r="A32" s="24" t="s">
        <v>204</v>
      </c>
      <c r="B32" s="24" t="s">
        <v>205</v>
      </c>
      <c r="C32" s="24" t="s">
        <v>69</v>
      </c>
      <c r="D32" s="24" t="s">
        <v>206</v>
      </c>
      <c r="E32" s="24">
        <v>14</v>
      </c>
      <c r="F32" s="24">
        <v>350000</v>
      </c>
      <c r="G32" s="24" t="s">
        <v>130</v>
      </c>
      <c r="H32" s="24" t="s">
        <v>28</v>
      </c>
    </row>
    <row r="33" spans="1:8" x14ac:dyDescent="0.3">
      <c r="A33" s="24" t="s">
        <v>207</v>
      </c>
      <c r="B33" s="24" t="s">
        <v>18</v>
      </c>
      <c r="C33" s="24" t="s">
        <v>208</v>
      </c>
      <c r="D33" s="24" t="s">
        <v>209</v>
      </c>
      <c r="E33" s="24">
        <v>12</v>
      </c>
      <c r="F33" s="24">
        <v>150000</v>
      </c>
      <c r="G33" s="24" t="s">
        <v>73</v>
      </c>
      <c r="H33" s="24" t="s">
        <v>210</v>
      </c>
    </row>
    <row r="34" spans="1:8" x14ac:dyDescent="0.3">
      <c r="A34" s="24" t="s">
        <v>211</v>
      </c>
      <c r="B34" s="24" t="s">
        <v>212</v>
      </c>
      <c r="C34" s="24" t="s">
        <v>157</v>
      </c>
      <c r="D34" s="24" t="s">
        <v>213</v>
      </c>
      <c r="E34" s="24">
        <v>8</v>
      </c>
      <c r="F34" s="24">
        <v>175000</v>
      </c>
      <c r="G34" s="24" t="s">
        <v>29</v>
      </c>
      <c r="H34" s="24" t="s">
        <v>214</v>
      </c>
    </row>
    <row r="35" spans="1:8" x14ac:dyDescent="0.3">
      <c r="A35" s="24" t="s">
        <v>215</v>
      </c>
      <c r="B35" s="24" t="s">
        <v>8</v>
      </c>
      <c r="C35" s="24" t="s">
        <v>168</v>
      </c>
      <c r="D35" s="24" t="s">
        <v>216</v>
      </c>
      <c r="E35" s="24">
        <v>6</v>
      </c>
      <c r="F35" s="24">
        <v>150000</v>
      </c>
      <c r="G35" s="24" t="s">
        <v>217</v>
      </c>
      <c r="H35" s="24" t="s">
        <v>218</v>
      </c>
    </row>
    <row r="36" spans="1:8" x14ac:dyDescent="0.3">
      <c r="A36" s="24" t="s">
        <v>219</v>
      </c>
      <c r="B36" s="24" t="s">
        <v>12</v>
      </c>
      <c r="C36" s="24" t="s">
        <v>220</v>
      </c>
      <c r="D36" s="24" t="s">
        <v>24</v>
      </c>
      <c r="E36" s="24">
        <v>20</v>
      </c>
      <c r="F36" s="24">
        <v>2500000</v>
      </c>
      <c r="G36" s="24" t="s">
        <v>221</v>
      </c>
      <c r="H36" s="24" t="s">
        <v>222</v>
      </c>
    </row>
    <row r="37" spans="1:8" x14ac:dyDescent="0.3">
      <c r="A37" s="24" t="s">
        <v>223</v>
      </c>
      <c r="B37" s="24" t="s">
        <v>76</v>
      </c>
      <c r="C37" s="24" t="s">
        <v>224</v>
      </c>
      <c r="D37" s="24" t="s">
        <v>225</v>
      </c>
      <c r="E37" s="24">
        <v>12</v>
      </c>
      <c r="F37" s="24">
        <v>65000</v>
      </c>
      <c r="G37" s="24" t="s">
        <v>102</v>
      </c>
      <c r="H37" s="24" t="s">
        <v>226</v>
      </c>
    </row>
    <row r="38" spans="1:8" x14ac:dyDescent="0.3">
      <c r="A38" s="24" t="s">
        <v>227</v>
      </c>
      <c r="B38" s="24" t="s">
        <v>197</v>
      </c>
      <c r="C38" s="24" t="s">
        <v>228</v>
      </c>
      <c r="D38" s="24" t="s">
        <v>229</v>
      </c>
      <c r="E38" s="24">
        <v>4</v>
      </c>
      <c r="F38" s="24">
        <v>73740</v>
      </c>
      <c r="G38" s="24" t="s">
        <v>230</v>
      </c>
      <c r="H38" s="24" t="s">
        <v>231</v>
      </c>
    </row>
    <row r="39" spans="1:8" x14ac:dyDescent="0.3">
      <c r="A39" s="24" t="s">
        <v>232</v>
      </c>
      <c r="B39" s="24" t="s">
        <v>233</v>
      </c>
      <c r="C39" s="24" t="s">
        <v>234</v>
      </c>
      <c r="D39" s="24" t="s">
        <v>235</v>
      </c>
      <c r="E39" s="24">
        <v>18</v>
      </c>
      <c r="F39" s="24">
        <v>175000</v>
      </c>
      <c r="G39" s="24" t="s">
        <v>236</v>
      </c>
      <c r="H39" s="24" t="s">
        <v>137</v>
      </c>
    </row>
    <row r="40" spans="1:8" x14ac:dyDescent="0.3">
      <c r="A40" s="24" t="s">
        <v>237</v>
      </c>
      <c r="B40" s="24" t="s">
        <v>238</v>
      </c>
      <c r="C40" s="24" t="s">
        <v>239</v>
      </c>
      <c r="D40" s="24" t="s">
        <v>240</v>
      </c>
      <c r="E40" s="24">
        <v>10</v>
      </c>
      <c r="F40" s="24">
        <v>180000</v>
      </c>
      <c r="G40" s="24" t="s">
        <v>241</v>
      </c>
      <c r="H40" s="24" t="s">
        <v>242</v>
      </c>
    </row>
    <row r="41" spans="1:8" x14ac:dyDescent="0.3">
      <c r="A41" s="24" t="s">
        <v>243</v>
      </c>
      <c r="B41" s="24" t="s">
        <v>167</v>
      </c>
      <c r="C41" s="24" t="s">
        <v>244</v>
      </c>
      <c r="D41" s="24" t="s">
        <v>194</v>
      </c>
      <c r="E41" s="24">
        <v>10</v>
      </c>
      <c r="F41" s="24">
        <v>65000</v>
      </c>
      <c r="G41" s="24" t="s">
        <v>45</v>
      </c>
      <c r="H41" s="24" t="s">
        <v>245</v>
      </c>
    </row>
    <row r="42" spans="1:8" x14ac:dyDescent="0.3">
      <c r="A42" s="24" t="s">
        <v>120</v>
      </c>
      <c r="B42" s="24" t="s">
        <v>246</v>
      </c>
      <c r="C42" s="24" t="s">
        <v>208</v>
      </c>
      <c r="D42" s="24" t="s">
        <v>11</v>
      </c>
      <c r="E42" s="24">
        <v>3</v>
      </c>
      <c r="F42" s="24">
        <v>150000</v>
      </c>
      <c r="G42" s="24" t="s">
        <v>247</v>
      </c>
      <c r="H42" s="24" t="s">
        <v>248</v>
      </c>
    </row>
    <row r="43" spans="1:8" x14ac:dyDescent="0.3">
      <c r="A43" s="24" t="s">
        <v>249</v>
      </c>
      <c r="B43" s="24" t="s">
        <v>250</v>
      </c>
      <c r="C43" s="24" t="s">
        <v>251</v>
      </c>
      <c r="D43" s="24" t="s">
        <v>11</v>
      </c>
      <c r="E43" s="24">
        <v>8</v>
      </c>
      <c r="F43" s="24">
        <v>180000</v>
      </c>
      <c r="G43" s="24" t="s">
        <v>125</v>
      </c>
      <c r="H43" s="24" t="s">
        <v>16</v>
      </c>
    </row>
    <row r="44" spans="1:8" x14ac:dyDescent="0.3">
      <c r="A44" s="24" t="s">
        <v>252</v>
      </c>
      <c r="B44" s="24" t="s">
        <v>253</v>
      </c>
      <c r="C44" s="24" t="s">
        <v>254</v>
      </c>
      <c r="D44" s="24" t="s">
        <v>178</v>
      </c>
      <c r="E44" s="24">
        <v>3</v>
      </c>
      <c r="F44" s="24">
        <v>250000</v>
      </c>
      <c r="G44" s="24" t="s">
        <v>255</v>
      </c>
      <c r="H44" s="24" t="s">
        <v>256</v>
      </c>
    </row>
    <row r="45" spans="1:8" x14ac:dyDescent="0.3">
      <c r="A45" s="24" t="s">
        <v>257</v>
      </c>
      <c r="B45" s="24" t="s">
        <v>258</v>
      </c>
      <c r="C45" s="24" t="s">
        <v>259</v>
      </c>
      <c r="D45" s="24" t="s">
        <v>30</v>
      </c>
      <c r="E45" s="24">
        <v>18</v>
      </c>
      <c r="F45" s="24">
        <v>85000</v>
      </c>
      <c r="G45" s="24" t="s">
        <v>260</v>
      </c>
      <c r="H45" s="24" t="s">
        <v>214</v>
      </c>
    </row>
    <row r="46" spans="1:8" x14ac:dyDescent="0.3">
      <c r="A46" s="24" t="s">
        <v>261</v>
      </c>
      <c r="B46" s="24" t="s">
        <v>262</v>
      </c>
      <c r="C46" s="24" t="s">
        <v>111</v>
      </c>
      <c r="D46" s="24" t="s">
        <v>89</v>
      </c>
      <c r="E46" s="24">
        <v>9</v>
      </c>
      <c r="F46" s="24">
        <v>150000</v>
      </c>
      <c r="G46" s="24" t="s">
        <v>263</v>
      </c>
      <c r="H46" s="24" t="s">
        <v>264</v>
      </c>
    </row>
    <row r="47" spans="1:8" x14ac:dyDescent="0.3">
      <c r="A47" s="24" t="s">
        <v>265</v>
      </c>
      <c r="B47" s="24" t="s">
        <v>266</v>
      </c>
      <c r="C47" s="24" t="s">
        <v>267</v>
      </c>
      <c r="D47" s="24" t="s">
        <v>268</v>
      </c>
      <c r="E47" s="24">
        <v>18</v>
      </c>
      <c r="F47" s="24">
        <v>150000</v>
      </c>
      <c r="G47" s="24" t="s">
        <v>269</v>
      </c>
      <c r="H47" s="24" t="s">
        <v>270</v>
      </c>
    </row>
    <row r="48" spans="1:8" x14ac:dyDescent="0.3">
      <c r="A48" s="24" t="s">
        <v>271</v>
      </c>
      <c r="B48" s="24" t="s">
        <v>272</v>
      </c>
      <c r="C48" s="24" t="s">
        <v>168</v>
      </c>
      <c r="D48" s="24" t="s">
        <v>117</v>
      </c>
      <c r="E48" s="24">
        <v>11</v>
      </c>
      <c r="F48" s="24">
        <v>150000</v>
      </c>
      <c r="G48" s="24" t="s">
        <v>273</v>
      </c>
      <c r="H48" s="24" t="s">
        <v>274</v>
      </c>
    </row>
    <row r="49" spans="1:8" x14ac:dyDescent="0.3">
      <c r="A49" s="24" t="s">
        <v>275</v>
      </c>
      <c r="B49" s="24" t="s">
        <v>276</v>
      </c>
      <c r="C49" s="24" t="s">
        <v>277</v>
      </c>
      <c r="D49" s="24" t="s">
        <v>27</v>
      </c>
      <c r="E49" s="24">
        <v>4</v>
      </c>
      <c r="F49" s="24">
        <v>350000</v>
      </c>
      <c r="G49" s="24" t="s">
        <v>278</v>
      </c>
      <c r="H49" s="24" t="s">
        <v>31</v>
      </c>
    </row>
    <row r="50" spans="1:8" x14ac:dyDescent="0.3">
      <c r="A50" s="24" t="s">
        <v>279</v>
      </c>
      <c r="B50" s="24" t="s">
        <v>133</v>
      </c>
      <c r="C50" s="24" t="s">
        <v>19</v>
      </c>
      <c r="D50" s="24" t="s">
        <v>280</v>
      </c>
      <c r="E50" s="24">
        <v>19</v>
      </c>
      <c r="F50" s="24">
        <v>150000</v>
      </c>
      <c r="G50" s="24" t="s">
        <v>44</v>
      </c>
      <c r="H50" s="24" t="s">
        <v>281</v>
      </c>
    </row>
    <row r="51" spans="1:8" x14ac:dyDescent="0.3">
      <c r="A51" s="24" t="s">
        <v>282</v>
      </c>
      <c r="B51" s="24" t="s">
        <v>105</v>
      </c>
      <c r="C51" s="24" t="s">
        <v>283</v>
      </c>
      <c r="D51" s="24" t="s">
        <v>284</v>
      </c>
      <c r="E51" s="24">
        <v>7</v>
      </c>
      <c r="F51" s="24">
        <v>85000</v>
      </c>
      <c r="G51" s="24" t="s">
        <v>285</v>
      </c>
      <c r="H51" s="24" t="s">
        <v>286</v>
      </c>
    </row>
    <row r="52" spans="1:8" x14ac:dyDescent="0.3">
      <c r="A52" s="24" t="s">
        <v>287</v>
      </c>
      <c r="B52" s="24" t="s">
        <v>288</v>
      </c>
      <c r="C52" s="24" t="s">
        <v>289</v>
      </c>
      <c r="D52" s="24" t="s">
        <v>290</v>
      </c>
      <c r="E52" s="24">
        <v>13</v>
      </c>
      <c r="F52" s="24">
        <v>57912</v>
      </c>
      <c r="G52" s="24" t="s">
        <v>291</v>
      </c>
      <c r="H52" s="24" t="s">
        <v>32</v>
      </c>
    </row>
    <row r="53" spans="1:8" x14ac:dyDescent="0.3">
      <c r="A53" s="24" t="s">
        <v>292</v>
      </c>
      <c r="B53" s="24" t="s">
        <v>167</v>
      </c>
      <c r="C53" s="24" t="s">
        <v>193</v>
      </c>
      <c r="D53" s="24" t="s">
        <v>293</v>
      </c>
      <c r="E53" s="24">
        <v>18</v>
      </c>
      <c r="F53" s="24">
        <v>650000</v>
      </c>
      <c r="G53" s="24" t="s">
        <v>294</v>
      </c>
      <c r="H53" s="24" t="s">
        <v>295</v>
      </c>
    </row>
    <row r="54" spans="1:8" x14ac:dyDescent="0.3">
      <c r="A54" s="24" t="s">
        <v>296</v>
      </c>
      <c r="B54" s="24" t="s">
        <v>297</v>
      </c>
      <c r="C54" s="24" t="s">
        <v>140</v>
      </c>
      <c r="D54" s="24" t="s">
        <v>225</v>
      </c>
      <c r="E54" s="24">
        <v>5</v>
      </c>
      <c r="F54" s="24">
        <v>65000</v>
      </c>
      <c r="G54" s="24" t="s">
        <v>298</v>
      </c>
      <c r="H54" s="24" t="s">
        <v>299</v>
      </c>
    </row>
    <row r="55" spans="1:8" x14ac:dyDescent="0.3">
      <c r="A55" s="24" t="s">
        <v>300</v>
      </c>
      <c r="B55" s="24" t="s">
        <v>8</v>
      </c>
      <c r="C55" s="24" t="s">
        <v>277</v>
      </c>
      <c r="D55" s="24" t="s">
        <v>95</v>
      </c>
      <c r="E55" s="24">
        <v>13</v>
      </c>
      <c r="F55" s="24">
        <v>350000</v>
      </c>
      <c r="G55" s="24" t="s">
        <v>22</v>
      </c>
      <c r="H55" s="24" t="s">
        <v>301</v>
      </c>
    </row>
    <row r="56" spans="1:8" x14ac:dyDescent="0.3">
      <c r="A56" s="24" t="s">
        <v>302</v>
      </c>
      <c r="B56" s="24" t="s">
        <v>303</v>
      </c>
      <c r="C56" s="24" t="s">
        <v>304</v>
      </c>
      <c r="D56" s="24" t="s">
        <v>27</v>
      </c>
      <c r="E56" s="24">
        <v>19</v>
      </c>
      <c r="F56" s="24">
        <v>350000</v>
      </c>
      <c r="G56" s="24" t="s">
        <v>305</v>
      </c>
      <c r="H56" s="24" t="s">
        <v>306</v>
      </c>
    </row>
    <row r="57" spans="1:8" x14ac:dyDescent="0.3">
      <c r="A57" s="24" t="s">
        <v>307</v>
      </c>
      <c r="B57" s="24" t="s">
        <v>308</v>
      </c>
      <c r="C57" s="24" t="s">
        <v>309</v>
      </c>
      <c r="D57" s="24" t="s">
        <v>84</v>
      </c>
      <c r="E57" s="24">
        <v>9</v>
      </c>
      <c r="F57" s="24">
        <v>180000</v>
      </c>
      <c r="G57" s="24" t="s">
        <v>310</v>
      </c>
      <c r="H57" s="24" t="s">
        <v>311</v>
      </c>
    </row>
    <row r="58" spans="1:8" x14ac:dyDescent="0.3">
      <c r="A58" s="24" t="s">
        <v>312</v>
      </c>
      <c r="B58" s="24" t="s">
        <v>139</v>
      </c>
      <c r="C58" s="24" t="s">
        <v>33</v>
      </c>
      <c r="D58" s="24" t="s">
        <v>313</v>
      </c>
      <c r="E58" s="24">
        <v>10</v>
      </c>
      <c r="F58" s="24">
        <v>150000</v>
      </c>
      <c r="G58" s="24" t="s">
        <v>314</v>
      </c>
      <c r="H58" s="24" t="s">
        <v>315</v>
      </c>
    </row>
    <row r="59" spans="1:8" x14ac:dyDescent="0.3">
      <c r="A59" s="24" t="s">
        <v>316</v>
      </c>
      <c r="B59" s="24" t="s">
        <v>317</v>
      </c>
      <c r="C59" s="24" t="s">
        <v>283</v>
      </c>
      <c r="D59" s="24" t="s">
        <v>318</v>
      </c>
      <c r="E59" s="24">
        <v>10</v>
      </c>
      <c r="F59" s="24">
        <v>85000</v>
      </c>
      <c r="G59" s="24" t="s">
        <v>310</v>
      </c>
      <c r="H59" s="24" t="s">
        <v>319</v>
      </c>
    </row>
    <row r="60" spans="1:8" x14ac:dyDescent="0.3">
      <c r="A60" s="24" t="s">
        <v>320</v>
      </c>
      <c r="B60" s="24" t="s">
        <v>321</v>
      </c>
      <c r="C60" s="24" t="s">
        <v>322</v>
      </c>
      <c r="D60" s="24" t="s">
        <v>323</v>
      </c>
      <c r="E60" s="24">
        <v>5</v>
      </c>
      <c r="F60" s="24">
        <v>25000</v>
      </c>
      <c r="G60" s="24" t="s">
        <v>324</v>
      </c>
      <c r="H60" s="24" t="s">
        <v>325</v>
      </c>
    </row>
    <row r="61" spans="1:8" x14ac:dyDescent="0.3">
      <c r="A61" s="24" t="s">
        <v>152</v>
      </c>
      <c r="B61" s="24" t="s">
        <v>326</v>
      </c>
      <c r="C61" s="24" t="s">
        <v>208</v>
      </c>
      <c r="D61" s="24" t="s">
        <v>313</v>
      </c>
      <c r="E61" s="24">
        <v>1</v>
      </c>
      <c r="F61" s="24">
        <v>150000</v>
      </c>
      <c r="G61" s="24" t="s">
        <v>160</v>
      </c>
      <c r="H61" s="24" t="s">
        <v>9</v>
      </c>
    </row>
    <row r="62" spans="1:8" x14ac:dyDescent="0.3">
      <c r="A62" s="24" t="s">
        <v>327</v>
      </c>
      <c r="B62" s="24" t="s">
        <v>328</v>
      </c>
      <c r="C62" s="24" t="s">
        <v>329</v>
      </c>
      <c r="D62" s="24" t="s">
        <v>330</v>
      </c>
      <c r="E62" s="24">
        <v>20</v>
      </c>
      <c r="F62" s="24">
        <v>150000</v>
      </c>
      <c r="G62" s="24" t="s">
        <v>331</v>
      </c>
      <c r="H62" s="24" t="s">
        <v>332</v>
      </c>
    </row>
    <row r="63" spans="1:8" x14ac:dyDescent="0.3">
      <c r="A63" s="24" t="s">
        <v>219</v>
      </c>
      <c r="B63" s="24" t="s">
        <v>333</v>
      </c>
      <c r="C63" s="24" t="s">
        <v>334</v>
      </c>
      <c r="D63" s="24" t="s">
        <v>335</v>
      </c>
      <c r="E63" s="24">
        <v>11</v>
      </c>
      <c r="F63" s="24">
        <v>350000</v>
      </c>
      <c r="G63" s="24" t="s">
        <v>336</v>
      </c>
      <c r="H63" s="24" t="s">
        <v>337</v>
      </c>
    </row>
    <row r="64" spans="1:8" x14ac:dyDescent="0.3">
      <c r="A64" s="24" t="s">
        <v>338</v>
      </c>
      <c r="B64" s="24" t="s">
        <v>339</v>
      </c>
      <c r="C64" s="24" t="s">
        <v>340</v>
      </c>
      <c r="D64" s="24" t="s">
        <v>341</v>
      </c>
      <c r="E64" s="24">
        <v>14</v>
      </c>
      <c r="F64" s="24">
        <v>250000</v>
      </c>
      <c r="G64" s="24" t="s">
        <v>342</v>
      </c>
      <c r="H64" s="24" t="s">
        <v>343</v>
      </c>
    </row>
    <row r="65" spans="1:8" x14ac:dyDescent="0.3">
      <c r="A65" s="24" t="s">
        <v>344</v>
      </c>
      <c r="B65" s="24" t="s">
        <v>345</v>
      </c>
      <c r="C65" s="24" t="s">
        <v>19</v>
      </c>
      <c r="D65" s="24" t="s">
        <v>11</v>
      </c>
      <c r="E65" s="24">
        <v>3</v>
      </c>
      <c r="F65" s="24">
        <v>150000</v>
      </c>
      <c r="G65" s="24" t="s">
        <v>346</v>
      </c>
      <c r="H65" s="24" t="s">
        <v>67</v>
      </c>
    </row>
    <row r="66" spans="1:8" x14ac:dyDescent="0.3">
      <c r="A66" s="24" t="s">
        <v>347</v>
      </c>
      <c r="B66" s="24" t="s">
        <v>326</v>
      </c>
      <c r="C66" s="24" t="s">
        <v>348</v>
      </c>
      <c r="D66" s="24" t="s">
        <v>30</v>
      </c>
      <c r="E66" s="24">
        <v>6</v>
      </c>
      <c r="F66" s="24">
        <v>85000</v>
      </c>
      <c r="G66" s="24" t="s">
        <v>34</v>
      </c>
      <c r="H66" s="24" t="s">
        <v>349</v>
      </c>
    </row>
    <row r="67" spans="1:8" x14ac:dyDescent="0.3">
      <c r="A67" s="24" t="s">
        <v>350</v>
      </c>
      <c r="B67" s="24" t="s">
        <v>351</v>
      </c>
      <c r="C67" s="24" t="s">
        <v>334</v>
      </c>
      <c r="D67" s="24" t="s">
        <v>70</v>
      </c>
      <c r="E67" s="24">
        <v>15</v>
      </c>
      <c r="F67" s="24">
        <v>350000</v>
      </c>
      <c r="G67" s="24" t="s">
        <v>352</v>
      </c>
      <c r="H67" s="24" t="s">
        <v>353</v>
      </c>
    </row>
    <row r="68" spans="1:8" x14ac:dyDescent="0.3">
      <c r="A68" s="24" t="s">
        <v>354</v>
      </c>
      <c r="B68" s="24" t="s">
        <v>156</v>
      </c>
      <c r="C68" s="24" t="s">
        <v>19</v>
      </c>
      <c r="D68" s="24" t="s">
        <v>355</v>
      </c>
      <c r="E68" s="24">
        <v>16</v>
      </c>
      <c r="F68" s="24">
        <v>150000</v>
      </c>
      <c r="G68" s="24" t="s">
        <v>35</v>
      </c>
      <c r="H68" s="24" t="s">
        <v>343</v>
      </c>
    </row>
    <row r="69" spans="1:8" x14ac:dyDescent="0.3">
      <c r="A69" s="24" t="s">
        <v>356</v>
      </c>
      <c r="B69" s="24" t="s">
        <v>233</v>
      </c>
      <c r="C69" s="24" t="s">
        <v>357</v>
      </c>
      <c r="D69" s="24" t="s">
        <v>358</v>
      </c>
      <c r="E69" s="24">
        <v>8</v>
      </c>
      <c r="F69" s="24">
        <v>175000</v>
      </c>
      <c r="G69" s="24" t="s">
        <v>359</v>
      </c>
      <c r="H69" s="24" t="s">
        <v>137</v>
      </c>
    </row>
    <row r="70" spans="1:8" x14ac:dyDescent="0.3">
      <c r="A70" s="24" t="s">
        <v>360</v>
      </c>
      <c r="B70" s="24" t="s">
        <v>276</v>
      </c>
      <c r="C70" s="24" t="s">
        <v>361</v>
      </c>
      <c r="D70" s="24" t="s">
        <v>362</v>
      </c>
      <c r="E70" s="24">
        <v>2</v>
      </c>
      <c r="F70" s="24">
        <v>85000</v>
      </c>
      <c r="G70" s="24" t="s">
        <v>363</v>
      </c>
      <c r="H70" s="24" t="s">
        <v>364</v>
      </c>
    </row>
    <row r="71" spans="1:8" x14ac:dyDescent="0.3">
      <c r="A71" s="24" t="s">
        <v>365</v>
      </c>
      <c r="B71" s="24" t="s">
        <v>171</v>
      </c>
      <c r="C71" s="24" t="s">
        <v>366</v>
      </c>
      <c r="D71" s="24" t="s">
        <v>367</v>
      </c>
      <c r="E71" s="24">
        <v>13</v>
      </c>
      <c r="F71" s="24">
        <v>250000</v>
      </c>
      <c r="G71" s="24" t="s">
        <v>368</v>
      </c>
      <c r="H71" s="24" t="s">
        <v>36</v>
      </c>
    </row>
    <row r="72" spans="1:8" x14ac:dyDescent="0.3">
      <c r="A72" s="24" t="s">
        <v>369</v>
      </c>
      <c r="B72" s="24" t="s">
        <v>205</v>
      </c>
      <c r="C72" s="24" t="s">
        <v>193</v>
      </c>
      <c r="D72" s="24" t="s">
        <v>101</v>
      </c>
      <c r="E72" s="24">
        <v>11</v>
      </c>
      <c r="F72" s="24">
        <v>65000</v>
      </c>
      <c r="G72" s="24" t="s">
        <v>370</v>
      </c>
      <c r="H72" s="24" t="s">
        <v>371</v>
      </c>
    </row>
    <row r="73" spans="1:8" x14ac:dyDescent="0.3">
      <c r="A73" s="24" t="s">
        <v>204</v>
      </c>
      <c r="B73" s="24" t="s">
        <v>372</v>
      </c>
      <c r="C73" s="24" t="s">
        <v>373</v>
      </c>
      <c r="D73" s="24" t="s">
        <v>374</v>
      </c>
      <c r="E73" s="24">
        <v>17</v>
      </c>
      <c r="F73" s="24">
        <v>3500</v>
      </c>
      <c r="G73" s="24" t="s">
        <v>375</v>
      </c>
      <c r="H73" s="24" t="s">
        <v>376</v>
      </c>
    </row>
    <row r="74" spans="1:8" x14ac:dyDescent="0.3">
      <c r="A74" s="24" t="s">
        <v>377</v>
      </c>
      <c r="B74" s="24" t="s">
        <v>12</v>
      </c>
      <c r="C74" s="24" t="s">
        <v>378</v>
      </c>
      <c r="D74" s="24" t="s">
        <v>379</v>
      </c>
      <c r="E74" s="24">
        <v>18</v>
      </c>
      <c r="F74" s="24">
        <v>65000</v>
      </c>
      <c r="G74" s="24" t="s">
        <v>22</v>
      </c>
      <c r="H74" s="24" t="s">
        <v>21</v>
      </c>
    </row>
    <row r="75" spans="1:8" x14ac:dyDescent="0.3">
      <c r="A75" s="24" t="s">
        <v>380</v>
      </c>
      <c r="B75" s="24" t="s">
        <v>105</v>
      </c>
      <c r="C75" s="24" t="s">
        <v>381</v>
      </c>
      <c r="D75" s="24" t="s">
        <v>313</v>
      </c>
      <c r="E75" s="24">
        <v>13</v>
      </c>
      <c r="F75" s="24">
        <v>180000</v>
      </c>
      <c r="G75" s="24" t="s">
        <v>179</v>
      </c>
      <c r="H75" s="24" t="s">
        <v>382</v>
      </c>
    </row>
    <row r="76" spans="1:8" x14ac:dyDescent="0.3">
      <c r="A76" s="24" t="s">
        <v>383</v>
      </c>
      <c r="B76" s="24" t="s">
        <v>115</v>
      </c>
      <c r="C76" s="24" t="s">
        <v>384</v>
      </c>
      <c r="D76" s="24" t="s">
        <v>235</v>
      </c>
      <c r="E76" s="24">
        <v>10</v>
      </c>
      <c r="F76" s="24">
        <v>175000</v>
      </c>
      <c r="G76" s="24" t="s">
        <v>385</v>
      </c>
      <c r="H76" s="24" t="s">
        <v>386</v>
      </c>
    </row>
    <row r="77" spans="1:8" x14ac:dyDescent="0.3">
      <c r="A77" s="24" t="s">
        <v>387</v>
      </c>
      <c r="B77" s="24" t="s">
        <v>388</v>
      </c>
      <c r="C77" s="24" t="s">
        <v>259</v>
      </c>
      <c r="D77" s="24" t="s">
        <v>389</v>
      </c>
      <c r="E77" s="24">
        <v>5</v>
      </c>
      <c r="F77" s="24">
        <v>85000</v>
      </c>
      <c r="G77" s="24" t="s">
        <v>390</v>
      </c>
      <c r="H77" s="24" t="s">
        <v>391</v>
      </c>
    </row>
    <row r="78" spans="1:8" x14ac:dyDescent="0.3">
      <c r="A78" s="24" t="s">
        <v>392</v>
      </c>
      <c r="B78" s="24" t="s">
        <v>393</v>
      </c>
      <c r="C78" s="24" t="s">
        <v>394</v>
      </c>
      <c r="D78" s="24" t="s">
        <v>395</v>
      </c>
      <c r="E78" s="24">
        <v>17</v>
      </c>
      <c r="F78" s="24">
        <v>350000</v>
      </c>
      <c r="G78" s="24" t="s">
        <v>230</v>
      </c>
      <c r="H78" s="24" t="s">
        <v>396</v>
      </c>
    </row>
    <row r="79" spans="1:8" x14ac:dyDescent="0.3">
      <c r="A79" s="24" t="s">
        <v>397</v>
      </c>
      <c r="B79" s="24" t="s">
        <v>37</v>
      </c>
      <c r="C79" s="24" t="s">
        <v>398</v>
      </c>
      <c r="D79" s="24" t="s">
        <v>27</v>
      </c>
      <c r="E79" s="24">
        <v>13</v>
      </c>
      <c r="F79" s="24">
        <v>350000</v>
      </c>
      <c r="G79" s="24" t="s">
        <v>399</v>
      </c>
      <c r="H79" s="24" t="s">
        <v>38</v>
      </c>
    </row>
    <row r="80" spans="1:8" x14ac:dyDescent="0.3">
      <c r="A80" s="24" t="s">
        <v>400</v>
      </c>
      <c r="B80" s="24" t="s">
        <v>14</v>
      </c>
      <c r="C80" s="24" t="s">
        <v>401</v>
      </c>
      <c r="D80" s="24" t="s">
        <v>402</v>
      </c>
      <c r="E80" s="24">
        <v>8</v>
      </c>
      <c r="F80" s="24">
        <v>350000</v>
      </c>
      <c r="G80" s="24" t="s">
        <v>403</v>
      </c>
      <c r="H80" s="24" t="s">
        <v>25</v>
      </c>
    </row>
    <row r="81" spans="1:8" x14ac:dyDescent="0.3">
      <c r="A81" s="24" t="s">
        <v>404</v>
      </c>
      <c r="B81" s="24" t="s">
        <v>405</v>
      </c>
      <c r="C81" s="24" t="s">
        <v>406</v>
      </c>
      <c r="D81" s="24" t="s">
        <v>407</v>
      </c>
      <c r="E81" s="24">
        <v>13</v>
      </c>
      <c r="F81" s="24">
        <v>85000</v>
      </c>
      <c r="G81" s="24" t="s">
        <v>408</v>
      </c>
      <c r="H81" s="24" t="s">
        <v>25</v>
      </c>
    </row>
    <row r="82" spans="1:8" x14ac:dyDescent="0.3">
      <c r="A82" s="24" t="s">
        <v>409</v>
      </c>
      <c r="B82" s="24" t="s">
        <v>410</v>
      </c>
      <c r="C82" s="24" t="s">
        <v>411</v>
      </c>
      <c r="D82" s="24" t="s">
        <v>39</v>
      </c>
      <c r="E82" s="24">
        <v>17</v>
      </c>
      <c r="F82" s="24">
        <v>150000</v>
      </c>
      <c r="G82" s="24" t="s">
        <v>412</v>
      </c>
      <c r="H82" s="24" t="s">
        <v>413</v>
      </c>
    </row>
    <row r="83" spans="1:8" x14ac:dyDescent="0.3">
      <c r="A83" s="24" t="s">
        <v>414</v>
      </c>
      <c r="B83" s="24" t="s">
        <v>415</v>
      </c>
      <c r="C83" s="24" t="s">
        <v>416</v>
      </c>
      <c r="D83" s="24" t="s">
        <v>417</v>
      </c>
      <c r="E83" s="24">
        <v>19</v>
      </c>
      <c r="F83" s="24">
        <v>65000</v>
      </c>
      <c r="G83" s="24" t="s">
        <v>418</v>
      </c>
      <c r="H83" s="24" t="s">
        <v>419</v>
      </c>
    </row>
    <row r="84" spans="1:8" x14ac:dyDescent="0.3">
      <c r="A84" s="24" t="s">
        <v>420</v>
      </c>
      <c r="B84" s="24" t="s">
        <v>212</v>
      </c>
      <c r="C84" s="24" t="s">
        <v>111</v>
      </c>
      <c r="D84" s="24" t="s">
        <v>89</v>
      </c>
      <c r="E84" s="24">
        <v>1</v>
      </c>
      <c r="F84" s="24">
        <v>150000</v>
      </c>
      <c r="G84" s="24" t="s">
        <v>179</v>
      </c>
      <c r="H84" s="24" t="s">
        <v>421</v>
      </c>
    </row>
    <row r="85" spans="1:8" x14ac:dyDescent="0.3">
      <c r="A85" s="24" t="s">
        <v>422</v>
      </c>
      <c r="B85" s="24" t="s">
        <v>326</v>
      </c>
      <c r="C85" s="24" t="s">
        <v>322</v>
      </c>
      <c r="D85" s="24" t="s">
        <v>423</v>
      </c>
      <c r="E85" s="24">
        <v>13</v>
      </c>
      <c r="F85" s="24">
        <v>250000</v>
      </c>
      <c r="G85" s="24" t="s">
        <v>424</v>
      </c>
      <c r="H85" s="24" t="s">
        <v>315</v>
      </c>
    </row>
    <row r="86" spans="1:8" x14ac:dyDescent="0.3">
      <c r="A86" s="24" t="s">
        <v>425</v>
      </c>
      <c r="B86" s="24" t="s">
        <v>258</v>
      </c>
      <c r="C86" s="24" t="s">
        <v>426</v>
      </c>
      <c r="D86" s="24" t="s">
        <v>427</v>
      </c>
      <c r="E86" s="24">
        <v>18</v>
      </c>
      <c r="F86" s="24">
        <v>65000</v>
      </c>
      <c r="G86" s="24" t="s">
        <v>336</v>
      </c>
      <c r="H86" s="24" t="s">
        <v>248</v>
      </c>
    </row>
    <row r="87" spans="1:8" x14ac:dyDescent="0.3">
      <c r="A87" s="24" t="s">
        <v>428</v>
      </c>
      <c r="B87" s="24" t="s">
        <v>429</v>
      </c>
      <c r="C87" s="24" t="s">
        <v>430</v>
      </c>
      <c r="D87" s="24" t="s">
        <v>431</v>
      </c>
      <c r="E87" s="24">
        <v>20</v>
      </c>
      <c r="F87" s="24">
        <v>250000</v>
      </c>
      <c r="G87" s="24" t="s">
        <v>432</v>
      </c>
      <c r="H87" s="24" t="s">
        <v>433</v>
      </c>
    </row>
    <row r="88" spans="1:8" x14ac:dyDescent="0.3">
      <c r="A88" s="24" t="s">
        <v>434</v>
      </c>
      <c r="B88" s="24" t="s">
        <v>18</v>
      </c>
      <c r="C88" s="24" t="s">
        <v>309</v>
      </c>
      <c r="D88" s="24" t="s">
        <v>11</v>
      </c>
      <c r="E88" s="24">
        <v>4</v>
      </c>
      <c r="F88" s="24">
        <v>180000</v>
      </c>
      <c r="G88" s="24" t="s">
        <v>40</v>
      </c>
      <c r="H88" s="24" t="s">
        <v>91</v>
      </c>
    </row>
    <row r="89" spans="1:8" x14ac:dyDescent="0.3">
      <c r="A89" s="24" t="s">
        <v>435</v>
      </c>
      <c r="B89" s="24" t="s">
        <v>415</v>
      </c>
      <c r="C89" s="24" t="s">
        <v>111</v>
      </c>
      <c r="D89" s="24" t="s">
        <v>89</v>
      </c>
      <c r="E89" s="24">
        <v>5</v>
      </c>
      <c r="F89" s="24">
        <v>150000</v>
      </c>
      <c r="G89" s="24" t="s">
        <v>375</v>
      </c>
      <c r="H89" s="24" t="s">
        <v>436</v>
      </c>
    </row>
    <row r="90" spans="1:8" x14ac:dyDescent="0.3">
      <c r="A90" s="24" t="s">
        <v>437</v>
      </c>
      <c r="B90" s="24" t="s">
        <v>12</v>
      </c>
      <c r="C90" s="24" t="s">
        <v>438</v>
      </c>
      <c r="D90" s="24" t="s">
        <v>423</v>
      </c>
      <c r="E90" s="24">
        <v>11</v>
      </c>
      <c r="F90" s="24">
        <v>2500000</v>
      </c>
      <c r="G90" s="24" t="s">
        <v>73</v>
      </c>
      <c r="H90" s="24" t="s">
        <v>439</v>
      </c>
    </row>
    <row r="91" spans="1:8" x14ac:dyDescent="0.3">
      <c r="A91" s="24" t="s">
        <v>440</v>
      </c>
      <c r="B91" s="24" t="s">
        <v>18</v>
      </c>
      <c r="C91" s="24" t="s">
        <v>441</v>
      </c>
      <c r="D91" s="24" t="s">
        <v>442</v>
      </c>
      <c r="E91" s="24">
        <v>20</v>
      </c>
      <c r="F91" s="24">
        <v>250000</v>
      </c>
      <c r="G91" s="24" t="s">
        <v>443</v>
      </c>
      <c r="H91" s="24" t="s">
        <v>444</v>
      </c>
    </row>
    <row r="92" spans="1:8" x14ac:dyDescent="0.3">
      <c r="A92" s="24" t="s">
        <v>445</v>
      </c>
      <c r="B92" s="24" t="s">
        <v>446</v>
      </c>
      <c r="C92" s="24" t="s">
        <v>447</v>
      </c>
      <c r="D92" s="24" t="s">
        <v>448</v>
      </c>
      <c r="E92" s="24">
        <v>7</v>
      </c>
      <c r="F92" s="24">
        <v>89233</v>
      </c>
      <c r="G92" s="24" t="s">
        <v>449</v>
      </c>
      <c r="H92" s="24" t="s">
        <v>450</v>
      </c>
    </row>
    <row r="93" spans="1:8" x14ac:dyDescent="0.3">
      <c r="A93" s="24" t="s">
        <v>451</v>
      </c>
      <c r="B93" s="24" t="s">
        <v>452</v>
      </c>
      <c r="C93" s="24" t="s">
        <v>453</v>
      </c>
      <c r="D93" s="24" t="s">
        <v>454</v>
      </c>
      <c r="E93" s="24">
        <v>5</v>
      </c>
      <c r="F93" s="24">
        <v>250000</v>
      </c>
      <c r="G93" s="24" t="s">
        <v>455</v>
      </c>
      <c r="H93" s="24" t="s">
        <v>456</v>
      </c>
    </row>
    <row r="94" spans="1:8" x14ac:dyDescent="0.3">
      <c r="A94" s="24" t="s">
        <v>457</v>
      </c>
      <c r="B94" s="24" t="s">
        <v>458</v>
      </c>
      <c r="C94" s="24" t="s">
        <v>41</v>
      </c>
      <c r="D94" s="24" t="s">
        <v>235</v>
      </c>
      <c r="E94" s="24">
        <v>19</v>
      </c>
      <c r="F94" s="24">
        <v>175000</v>
      </c>
      <c r="G94" s="24" t="s">
        <v>42</v>
      </c>
      <c r="H94" s="24" t="s">
        <v>459</v>
      </c>
    </row>
    <row r="95" spans="1:8" x14ac:dyDescent="0.3">
      <c r="A95" s="24" t="s">
        <v>460</v>
      </c>
      <c r="B95" s="24" t="s">
        <v>326</v>
      </c>
      <c r="C95" s="24" t="s">
        <v>198</v>
      </c>
      <c r="D95" s="24" t="s">
        <v>27</v>
      </c>
      <c r="E95" s="24">
        <v>14</v>
      </c>
      <c r="F95" s="24">
        <v>350000</v>
      </c>
      <c r="G95" s="24" t="s">
        <v>461</v>
      </c>
      <c r="H95" s="24" t="s">
        <v>462</v>
      </c>
    </row>
    <row r="96" spans="1:8" x14ac:dyDescent="0.3">
      <c r="A96" s="24" t="s">
        <v>463</v>
      </c>
      <c r="B96" s="24" t="s">
        <v>326</v>
      </c>
      <c r="C96" s="24" t="s">
        <v>464</v>
      </c>
      <c r="D96" s="24" t="s">
        <v>465</v>
      </c>
      <c r="E96" s="24">
        <v>20</v>
      </c>
      <c r="F96" s="24">
        <v>175000</v>
      </c>
      <c r="G96" s="24" t="s">
        <v>466</v>
      </c>
      <c r="H96" s="24" t="s">
        <v>467</v>
      </c>
    </row>
    <row r="97" spans="1:8" x14ac:dyDescent="0.3">
      <c r="A97" s="24" t="s">
        <v>468</v>
      </c>
      <c r="B97" s="24" t="s">
        <v>469</v>
      </c>
      <c r="C97" s="24" t="s">
        <v>406</v>
      </c>
      <c r="D97" s="24" t="s">
        <v>470</v>
      </c>
      <c r="E97" s="24">
        <v>18</v>
      </c>
      <c r="F97" s="24">
        <v>85000</v>
      </c>
      <c r="G97" s="24" t="s">
        <v>471</v>
      </c>
      <c r="H97" s="24" t="s">
        <v>472</v>
      </c>
    </row>
    <row r="98" spans="1:8" x14ac:dyDescent="0.3">
      <c r="A98" s="24" t="s">
        <v>473</v>
      </c>
      <c r="B98" s="24" t="s">
        <v>474</v>
      </c>
      <c r="C98" s="24" t="s">
        <v>475</v>
      </c>
      <c r="D98" s="24" t="s">
        <v>476</v>
      </c>
      <c r="E98" s="24">
        <v>17</v>
      </c>
      <c r="F98" s="24">
        <v>175000</v>
      </c>
      <c r="G98" s="24" t="s">
        <v>477</v>
      </c>
      <c r="H98" s="24" t="s">
        <v>478</v>
      </c>
    </row>
    <row r="99" spans="1:8" x14ac:dyDescent="0.3">
      <c r="A99" s="24" t="s">
        <v>479</v>
      </c>
      <c r="B99" s="24" t="s">
        <v>8</v>
      </c>
      <c r="C99" s="24" t="s">
        <v>254</v>
      </c>
      <c r="D99" s="24" t="s">
        <v>423</v>
      </c>
      <c r="E99" s="24">
        <v>20</v>
      </c>
      <c r="F99" s="24">
        <v>250000</v>
      </c>
      <c r="G99" s="24" t="s">
        <v>34</v>
      </c>
      <c r="H99" s="24" t="s">
        <v>9</v>
      </c>
    </row>
    <row r="100" spans="1:8" x14ac:dyDescent="0.3">
      <c r="A100" s="24" t="s">
        <v>480</v>
      </c>
      <c r="B100" s="24" t="s">
        <v>250</v>
      </c>
      <c r="C100" s="24" t="s">
        <v>334</v>
      </c>
      <c r="D100" s="24" t="s">
        <v>27</v>
      </c>
      <c r="E100" s="24">
        <v>20</v>
      </c>
      <c r="F100" s="24">
        <v>350000</v>
      </c>
      <c r="G100" s="24" t="s">
        <v>481</v>
      </c>
      <c r="H100" s="24" t="s">
        <v>482</v>
      </c>
    </row>
    <row r="101" spans="1:8" x14ac:dyDescent="0.3">
      <c r="A101" s="24" t="s">
        <v>483</v>
      </c>
      <c r="B101" s="24" t="s">
        <v>484</v>
      </c>
      <c r="C101" s="24" t="s">
        <v>485</v>
      </c>
      <c r="D101" s="24" t="s">
        <v>486</v>
      </c>
      <c r="E101" s="24">
        <v>18</v>
      </c>
      <c r="F101" s="24">
        <v>150000</v>
      </c>
      <c r="G101" s="24" t="s">
        <v>487</v>
      </c>
      <c r="H101" s="24" t="s">
        <v>488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39"/>
  <sheetViews>
    <sheetView workbookViewId="0">
      <selection activeCell="D31" sqref="D31"/>
    </sheetView>
  </sheetViews>
  <sheetFormatPr defaultRowHeight="14.4" x14ac:dyDescent="0.3"/>
  <cols>
    <col min="1" max="1" width="12.5546875" customWidth="1"/>
    <col min="2" max="2" width="14.88671875" customWidth="1"/>
    <col min="3" max="3" width="23.88671875" customWidth="1"/>
    <col min="4" max="4" width="18.88671875" customWidth="1"/>
    <col min="5" max="5" width="16" customWidth="1"/>
    <col min="6" max="6" width="14.88671875" customWidth="1"/>
    <col min="7" max="7" width="16" customWidth="1"/>
    <col min="9" max="9" width="15.88671875" customWidth="1"/>
    <col min="10" max="10" width="14.88671875" customWidth="1"/>
  </cols>
  <sheetData>
    <row r="3" spans="1:10" x14ac:dyDescent="0.3">
      <c r="A3" t="s">
        <v>489</v>
      </c>
      <c r="B3" t="s">
        <v>495</v>
      </c>
      <c r="C3" t="s">
        <v>492</v>
      </c>
      <c r="D3" t="s">
        <v>504</v>
      </c>
    </row>
    <row r="4" spans="1:10" x14ac:dyDescent="0.3">
      <c r="A4" s="25">
        <v>1141</v>
      </c>
      <c r="B4" s="25">
        <v>302680445</v>
      </c>
      <c r="C4" s="25">
        <v>14</v>
      </c>
      <c r="D4" s="31">
        <v>248238.47</v>
      </c>
      <c r="E4" t="s">
        <v>505</v>
      </c>
      <c r="F4" s="33">
        <f>GETPIVOTDATA("[Measures].[Average of Unit Price]",$A$3)</f>
        <v>248238.47</v>
      </c>
    </row>
    <row r="5" spans="1:10" x14ac:dyDescent="0.3">
      <c r="E5" t="s">
        <v>493</v>
      </c>
      <c r="F5">
        <f>GETPIVOTDATA("[Measures].[Sum of Units Sold]",$A$3)</f>
        <v>1141</v>
      </c>
    </row>
    <row r="6" spans="1:10" x14ac:dyDescent="0.3">
      <c r="E6" t="s">
        <v>496</v>
      </c>
      <c r="F6" s="30">
        <f>GETPIVOTDATA("[Measures].[Sum of Revenue]",$A$3)</f>
        <v>302680445</v>
      </c>
    </row>
    <row r="7" spans="1:10" x14ac:dyDescent="0.3">
      <c r="E7" t="s">
        <v>497</v>
      </c>
      <c r="F7">
        <f>GETPIVOTDATA("[Measures].[Distinct Count of Customer]",$A$3)</f>
        <v>14</v>
      </c>
    </row>
    <row r="8" spans="1:10" x14ac:dyDescent="0.3">
      <c r="A8" s="26" t="s">
        <v>490</v>
      </c>
      <c r="B8" t="s">
        <v>495</v>
      </c>
      <c r="C8" t="s">
        <v>489</v>
      </c>
    </row>
    <row r="9" spans="1:10" x14ac:dyDescent="0.3">
      <c r="A9" s="27" t="s">
        <v>52</v>
      </c>
      <c r="B9" s="30">
        <v>650000</v>
      </c>
      <c r="C9" s="30">
        <v>10</v>
      </c>
      <c r="E9" s="26" t="s">
        <v>490</v>
      </c>
      <c r="F9" t="s">
        <v>495</v>
      </c>
      <c r="I9" s="26" t="s">
        <v>490</v>
      </c>
      <c r="J9" t="s">
        <v>495</v>
      </c>
    </row>
    <row r="10" spans="1:10" x14ac:dyDescent="0.3">
      <c r="A10" s="27" t="s">
        <v>47</v>
      </c>
      <c r="B10" s="30">
        <v>63689500</v>
      </c>
      <c r="C10" s="30">
        <v>215</v>
      </c>
      <c r="E10" s="27" t="s">
        <v>498</v>
      </c>
      <c r="F10" s="30">
        <v>57202856</v>
      </c>
      <c r="I10" s="27" t="s">
        <v>62</v>
      </c>
      <c r="J10" s="30">
        <v>2195000</v>
      </c>
    </row>
    <row r="11" spans="1:10" x14ac:dyDescent="0.3">
      <c r="A11" s="27" t="s">
        <v>19</v>
      </c>
      <c r="B11" s="30">
        <v>33900000</v>
      </c>
      <c r="C11" s="30">
        <v>226</v>
      </c>
      <c r="E11" s="27" t="s">
        <v>499</v>
      </c>
      <c r="F11" s="30">
        <v>124284591</v>
      </c>
      <c r="I11" s="27" t="s">
        <v>506</v>
      </c>
      <c r="J11" s="30">
        <v>8064960</v>
      </c>
    </row>
    <row r="12" spans="1:10" x14ac:dyDescent="0.3">
      <c r="A12" s="27" t="s">
        <v>51</v>
      </c>
      <c r="B12" s="30">
        <v>8954631</v>
      </c>
      <c r="C12" s="30">
        <v>105</v>
      </c>
      <c r="E12" s="27" t="s">
        <v>500</v>
      </c>
      <c r="F12" s="30">
        <v>18870000</v>
      </c>
      <c r="I12" s="27" t="s">
        <v>58</v>
      </c>
      <c r="J12" s="30">
        <v>10125000</v>
      </c>
    </row>
    <row r="13" spans="1:10" x14ac:dyDescent="0.3">
      <c r="A13" s="27" t="s">
        <v>48</v>
      </c>
      <c r="B13" s="30">
        <v>14331113</v>
      </c>
      <c r="C13" s="30">
        <v>82</v>
      </c>
      <c r="E13" s="27" t="s">
        <v>501</v>
      </c>
      <c r="F13" s="30">
        <v>24295000</v>
      </c>
      <c r="I13" s="27" t="s">
        <v>57</v>
      </c>
      <c r="J13" s="30">
        <v>10235000</v>
      </c>
    </row>
    <row r="14" spans="1:10" x14ac:dyDescent="0.3">
      <c r="A14" s="27" t="s">
        <v>49</v>
      </c>
      <c r="B14" s="30">
        <v>21230201</v>
      </c>
      <c r="C14" s="30">
        <v>166</v>
      </c>
      <c r="E14" s="27" t="s">
        <v>502</v>
      </c>
      <c r="F14" s="30">
        <v>31856113</v>
      </c>
      <c r="I14" s="27" t="s">
        <v>13</v>
      </c>
      <c r="J14" s="30">
        <v>11480000</v>
      </c>
    </row>
    <row r="15" spans="1:10" x14ac:dyDescent="0.3">
      <c r="A15" s="27" t="s">
        <v>23</v>
      </c>
      <c r="B15" s="30">
        <v>134375000</v>
      </c>
      <c r="C15" s="30">
        <v>191</v>
      </c>
      <c r="E15" s="27" t="s">
        <v>503</v>
      </c>
      <c r="F15" s="30">
        <v>46171885</v>
      </c>
      <c r="I15" s="27" t="s">
        <v>60</v>
      </c>
      <c r="J15" s="30">
        <v>12027385</v>
      </c>
    </row>
    <row r="16" spans="1:10" x14ac:dyDescent="0.3">
      <c r="A16" s="27" t="s">
        <v>50</v>
      </c>
      <c r="B16" s="30">
        <v>25550000</v>
      </c>
      <c r="C16" s="30">
        <v>146</v>
      </c>
      <c r="E16" s="27" t="s">
        <v>491</v>
      </c>
      <c r="F16" s="30">
        <v>302680445</v>
      </c>
      <c r="I16" s="27" t="s">
        <v>25</v>
      </c>
      <c r="J16" s="30">
        <v>12435000</v>
      </c>
    </row>
    <row r="17" spans="1:10" x14ac:dyDescent="0.3">
      <c r="A17" s="27" t="s">
        <v>491</v>
      </c>
      <c r="B17" s="30">
        <v>302680445</v>
      </c>
      <c r="C17" s="30">
        <v>1141</v>
      </c>
      <c r="I17" s="27" t="s">
        <v>36</v>
      </c>
      <c r="J17" s="30">
        <v>15300000</v>
      </c>
    </row>
    <row r="18" spans="1:10" x14ac:dyDescent="0.3">
      <c r="I18" s="27" t="s">
        <v>59</v>
      </c>
      <c r="J18" s="30">
        <v>17965000</v>
      </c>
    </row>
    <row r="19" spans="1:10" x14ac:dyDescent="0.3">
      <c r="I19" s="27" t="s">
        <v>61</v>
      </c>
      <c r="J19" s="30">
        <v>23270000</v>
      </c>
    </row>
    <row r="20" spans="1:10" x14ac:dyDescent="0.3">
      <c r="A20" s="26" t="s">
        <v>490</v>
      </c>
      <c r="B20" t="s">
        <v>489</v>
      </c>
      <c r="E20" s="26" t="s">
        <v>490</v>
      </c>
      <c r="F20" t="s">
        <v>495</v>
      </c>
      <c r="G20" t="s">
        <v>489</v>
      </c>
      <c r="I20" s="27" t="s">
        <v>9</v>
      </c>
      <c r="J20" s="30">
        <v>27191113</v>
      </c>
    </row>
    <row r="21" spans="1:10" x14ac:dyDescent="0.3">
      <c r="A21" s="27" t="s">
        <v>498</v>
      </c>
      <c r="B21" s="30">
        <v>284</v>
      </c>
      <c r="E21" s="27" t="s">
        <v>18</v>
      </c>
      <c r="F21" s="30">
        <v>79518498</v>
      </c>
      <c r="G21" s="30">
        <v>430</v>
      </c>
      <c r="I21" s="27" t="s">
        <v>32</v>
      </c>
      <c r="J21" s="30">
        <v>31117487</v>
      </c>
    </row>
    <row r="22" spans="1:10" x14ac:dyDescent="0.3">
      <c r="A22" s="27" t="s">
        <v>499</v>
      </c>
      <c r="B22" s="30">
        <v>269</v>
      </c>
      <c r="E22" s="27" t="s">
        <v>14</v>
      </c>
      <c r="F22" s="30">
        <v>39490000</v>
      </c>
      <c r="G22" s="30">
        <v>196</v>
      </c>
      <c r="I22" s="27" t="s">
        <v>56</v>
      </c>
      <c r="J22" s="30">
        <v>31715000</v>
      </c>
    </row>
    <row r="23" spans="1:10" x14ac:dyDescent="0.3">
      <c r="A23" s="27" t="s">
        <v>500</v>
      </c>
      <c r="B23" s="30">
        <v>111</v>
      </c>
      <c r="E23" s="27" t="s">
        <v>8</v>
      </c>
      <c r="F23" s="30">
        <v>68129460</v>
      </c>
      <c r="G23" s="30">
        <v>292</v>
      </c>
      <c r="I23" s="27" t="s">
        <v>16</v>
      </c>
      <c r="J23" s="30">
        <v>89559500</v>
      </c>
    </row>
    <row r="24" spans="1:10" x14ac:dyDescent="0.3">
      <c r="A24" s="27" t="s">
        <v>501</v>
      </c>
      <c r="B24" s="30">
        <v>132</v>
      </c>
      <c r="E24" s="27" t="s">
        <v>12</v>
      </c>
      <c r="F24" s="30">
        <v>115542487</v>
      </c>
      <c r="G24" s="30">
        <v>223</v>
      </c>
      <c r="I24" s="27" t="s">
        <v>491</v>
      </c>
      <c r="J24" s="30">
        <v>302680445</v>
      </c>
    </row>
    <row r="25" spans="1:10" x14ac:dyDescent="0.3">
      <c r="A25" s="27" t="s">
        <v>502</v>
      </c>
      <c r="B25" s="30">
        <v>183</v>
      </c>
      <c r="E25" s="27" t="s">
        <v>491</v>
      </c>
      <c r="F25" s="30">
        <v>302680445</v>
      </c>
      <c r="G25" s="32">
        <v>1141</v>
      </c>
    </row>
    <row r="26" spans="1:10" x14ac:dyDescent="0.3">
      <c r="A26" s="27" t="s">
        <v>503</v>
      </c>
      <c r="B26" s="30">
        <v>162</v>
      </c>
    </row>
    <row r="27" spans="1:10" x14ac:dyDescent="0.3">
      <c r="A27" s="27" t="s">
        <v>491</v>
      </c>
      <c r="B27" s="30">
        <v>1141</v>
      </c>
    </row>
    <row r="30" spans="1:10" x14ac:dyDescent="0.3">
      <c r="A30" s="26" t="s">
        <v>490</v>
      </c>
      <c r="B30" t="s">
        <v>495</v>
      </c>
      <c r="D30" s="26" t="s">
        <v>490</v>
      </c>
      <c r="E30" t="s">
        <v>489</v>
      </c>
    </row>
    <row r="31" spans="1:10" x14ac:dyDescent="0.3">
      <c r="A31" s="27" t="s">
        <v>52</v>
      </c>
      <c r="B31" s="30">
        <v>650000</v>
      </c>
      <c r="D31" s="27" t="s">
        <v>52</v>
      </c>
      <c r="E31" s="30">
        <v>10</v>
      </c>
    </row>
    <row r="32" spans="1:10" x14ac:dyDescent="0.3">
      <c r="A32" s="27" t="s">
        <v>47</v>
      </c>
      <c r="B32" s="30">
        <v>63689500</v>
      </c>
      <c r="D32" s="27" t="s">
        <v>47</v>
      </c>
      <c r="E32" s="30">
        <v>215</v>
      </c>
    </row>
    <row r="33" spans="1:5" x14ac:dyDescent="0.3">
      <c r="A33" s="27" t="s">
        <v>19</v>
      </c>
      <c r="B33" s="30">
        <v>33900000</v>
      </c>
      <c r="D33" s="27" t="s">
        <v>19</v>
      </c>
      <c r="E33" s="30">
        <v>226</v>
      </c>
    </row>
    <row r="34" spans="1:5" x14ac:dyDescent="0.3">
      <c r="A34" s="27" t="s">
        <v>51</v>
      </c>
      <c r="B34" s="30">
        <v>8954631</v>
      </c>
      <c r="D34" s="27" t="s">
        <v>51</v>
      </c>
      <c r="E34" s="30">
        <v>105</v>
      </c>
    </row>
    <row r="35" spans="1:5" x14ac:dyDescent="0.3">
      <c r="A35" s="27" t="s">
        <v>48</v>
      </c>
      <c r="B35" s="30">
        <v>14331113</v>
      </c>
      <c r="D35" s="27" t="s">
        <v>48</v>
      </c>
      <c r="E35" s="30">
        <v>82</v>
      </c>
    </row>
    <row r="36" spans="1:5" x14ac:dyDescent="0.3">
      <c r="A36" s="27" t="s">
        <v>49</v>
      </c>
      <c r="B36" s="30">
        <v>21230201</v>
      </c>
      <c r="D36" s="27" t="s">
        <v>49</v>
      </c>
      <c r="E36" s="30">
        <v>166</v>
      </c>
    </row>
    <row r="37" spans="1:5" x14ac:dyDescent="0.3">
      <c r="A37" s="27" t="s">
        <v>23</v>
      </c>
      <c r="B37" s="30">
        <v>134375000</v>
      </c>
      <c r="D37" s="27" t="s">
        <v>23</v>
      </c>
      <c r="E37" s="30">
        <v>191</v>
      </c>
    </row>
    <row r="38" spans="1:5" x14ac:dyDescent="0.3">
      <c r="A38" s="27" t="s">
        <v>50</v>
      </c>
      <c r="B38" s="30">
        <v>25550000</v>
      </c>
      <c r="D38" s="27" t="s">
        <v>50</v>
      </c>
      <c r="E38" s="30">
        <v>146</v>
      </c>
    </row>
    <row r="39" spans="1:5" x14ac:dyDescent="0.3">
      <c r="A39" s="27" t="s">
        <v>491</v>
      </c>
      <c r="B39" s="30">
        <v>302680445</v>
      </c>
      <c r="D39" s="27" t="s">
        <v>491</v>
      </c>
      <c r="E39" s="30">
        <v>1141</v>
      </c>
    </row>
  </sheetData>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topLeftCell="C1" workbookViewId="0">
      <selection activeCell="E24" sqref="E24"/>
    </sheetView>
  </sheetViews>
  <sheetFormatPr defaultRowHeight="14.4" x14ac:dyDescent="0.3"/>
  <cols>
    <col min="1" max="16384" width="8.88671875" style="3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workbookViewId="0">
      <selection activeCell="X8" sqref="X8"/>
    </sheetView>
  </sheetViews>
  <sheetFormatPr defaultRowHeight="14.4" x14ac:dyDescent="0.3"/>
  <cols>
    <col min="1" max="16384" width="8.88671875" style="3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1"/>
  <sheetViews>
    <sheetView workbookViewId="0">
      <pane ySplit="1" topLeftCell="A2" activePane="bottomLeft" state="frozen"/>
      <selection pane="bottomLeft" activeCell="J22" sqref="J22"/>
    </sheetView>
  </sheetViews>
  <sheetFormatPr defaultRowHeight="14.4" x14ac:dyDescent="0.3"/>
  <cols>
    <col min="1" max="2" width="18.88671875" customWidth="1"/>
    <col min="3" max="3" width="9.5546875" style="6" bestFit="1" customWidth="1"/>
    <col min="4" max="4" width="15.88671875" customWidth="1"/>
    <col min="5" max="5" width="15.21875" customWidth="1"/>
    <col min="6" max="6" width="15.33203125" customWidth="1"/>
    <col min="7" max="7" width="19.33203125" customWidth="1"/>
  </cols>
  <sheetData>
    <row r="1" spans="1:9" ht="15" thickBot="1" x14ac:dyDescent="0.35">
      <c r="A1" s="14" t="s">
        <v>4</v>
      </c>
      <c r="B1" s="8" t="s">
        <v>5</v>
      </c>
      <c r="C1" s="7" t="s">
        <v>0</v>
      </c>
      <c r="D1" s="13" t="s">
        <v>2</v>
      </c>
      <c r="E1" s="13" t="s">
        <v>3</v>
      </c>
      <c r="F1" s="13" t="s">
        <v>6</v>
      </c>
      <c r="G1" s="13" t="s">
        <v>7</v>
      </c>
      <c r="H1" s="19" t="s">
        <v>1</v>
      </c>
      <c r="I1" s="29" t="s">
        <v>494</v>
      </c>
    </row>
    <row r="2" spans="1:9" ht="15" thickTop="1" x14ac:dyDescent="0.3">
      <c r="A2" s="15">
        <v>8</v>
      </c>
      <c r="B2" s="10">
        <v>2500000</v>
      </c>
      <c r="C2" s="9">
        <v>45821</v>
      </c>
      <c r="D2" s="20" t="s">
        <v>23</v>
      </c>
      <c r="E2" s="20" t="s">
        <v>24</v>
      </c>
      <c r="F2" s="20" t="s">
        <v>29</v>
      </c>
      <c r="G2" s="20" t="s">
        <v>56</v>
      </c>
      <c r="H2" s="20" t="s">
        <v>8</v>
      </c>
      <c r="I2" s="28">
        <f>Table3[[#This Row],[Units Sold]]*Table3[[#This Row],[Unit Price]]</f>
        <v>20000000</v>
      </c>
    </row>
    <row r="3" spans="1:9" x14ac:dyDescent="0.3">
      <c r="A3" s="16">
        <v>6</v>
      </c>
      <c r="B3" s="5">
        <v>350000</v>
      </c>
      <c r="C3" s="11">
        <v>45755</v>
      </c>
      <c r="D3" s="18" t="s">
        <v>47</v>
      </c>
      <c r="E3" s="18" t="s">
        <v>27</v>
      </c>
      <c r="F3" s="18" t="s">
        <v>54</v>
      </c>
      <c r="G3" s="18" t="s">
        <v>9</v>
      </c>
      <c r="H3" s="18" t="s">
        <v>18</v>
      </c>
      <c r="I3" s="28">
        <f>Table3[[#This Row],[Units Sold]]*Table3[[#This Row],[Unit Price]]</f>
        <v>2100000</v>
      </c>
    </row>
    <row r="4" spans="1:9" ht="15" thickBot="1" x14ac:dyDescent="0.35">
      <c r="A4" s="15">
        <v>14</v>
      </c>
      <c r="B4" s="10">
        <v>180000</v>
      </c>
      <c r="C4" s="9">
        <v>45686</v>
      </c>
      <c r="D4" s="21" t="s">
        <v>48</v>
      </c>
      <c r="E4" s="21" t="s">
        <v>11</v>
      </c>
      <c r="F4" s="21" t="s">
        <v>34</v>
      </c>
      <c r="G4" s="21" t="s">
        <v>57</v>
      </c>
      <c r="H4" s="21" t="s">
        <v>10</v>
      </c>
      <c r="I4" s="28">
        <f>Table3[[#This Row],[Units Sold]]*Table3[[#This Row],[Unit Price]]</f>
        <v>2520000</v>
      </c>
    </row>
    <row r="5" spans="1:9" ht="15" thickTop="1" x14ac:dyDescent="0.3">
      <c r="A5" s="16">
        <v>18</v>
      </c>
      <c r="B5" s="5">
        <v>65000</v>
      </c>
      <c r="C5" s="11">
        <v>45794</v>
      </c>
      <c r="D5" s="18" t="s">
        <v>49</v>
      </c>
      <c r="E5" s="18" t="s">
        <v>53</v>
      </c>
      <c r="F5" s="18" t="s">
        <v>54</v>
      </c>
      <c r="G5" s="18" t="s">
        <v>61</v>
      </c>
      <c r="H5" s="20" t="s">
        <v>8</v>
      </c>
      <c r="I5" s="28">
        <f>Table3[[#This Row],[Units Sold]]*Table3[[#This Row],[Unit Price]]</f>
        <v>1170000</v>
      </c>
    </row>
    <row r="6" spans="1:9" x14ac:dyDescent="0.3">
      <c r="A6" s="15">
        <v>5</v>
      </c>
      <c r="B6" s="10">
        <v>180000</v>
      </c>
      <c r="C6" s="9">
        <v>45685</v>
      </c>
      <c r="D6" s="21" t="s">
        <v>48</v>
      </c>
      <c r="E6" s="21" t="s">
        <v>11</v>
      </c>
      <c r="F6" s="21" t="s">
        <v>29</v>
      </c>
      <c r="G6" s="21" t="s">
        <v>36</v>
      </c>
      <c r="H6" s="21" t="s">
        <v>12</v>
      </c>
      <c r="I6" s="28">
        <f>Table3[[#This Row],[Units Sold]]*Table3[[#This Row],[Unit Price]]</f>
        <v>900000</v>
      </c>
    </row>
    <row r="7" spans="1:9" x14ac:dyDescent="0.3">
      <c r="A7" s="16">
        <v>19</v>
      </c>
      <c r="B7" s="5">
        <v>157427</v>
      </c>
      <c r="C7" s="11">
        <v>45803</v>
      </c>
      <c r="D7" s="18" t="s">
        <v>48</v>
      </c>
      <c r="E7" s="21" t="s">
        <v>11</v>
      </c>
      <c r="F7" s="18" t="s">
        <v>54</v>
      </c>
      <c r="G7" s="18" t="s">
        <v>9</v>
      </c>
      <c r="H7" s="18" t="s">
        <v>18</v>
      </c>
      <c r="I7" s="28">
        <f>Table3[[#This Row],[Units Sold]]*Table3[[#This Row],[Unit Price]]</f>
        <v>2991113</v>
      </c>
    </row>
    <row r="8" spans="1:9" x14ac:dyDescent="0.3">
      <c r="A8" s="15">
        <v>3</v>
      </c>
      <c r="B8" s="10">
        <v>350000</v>
      </c>
      <c r="C8" s="9">
        <v>45783</v>
      </c>
      <c r="D8" s="21" t="s">
        <v>47</v>
      </c>
      <c r="E8" s="18" t="s">
        <v>27</v>
      </c>
      <c r="F8" s="21" t="s">
        <v>15</v>
      </c>
      <c r="G8" s="21" t="s">
        <v>36</v>
      </c>
      <c r="H8" s="21" t="s">
        <v>12</v>
      </c>
      <c r="I8" s="28">
        <f>Table3[[#This Row],[Units Sold]]*Table3[[#This Row],[Unit Price]]</f>
        <v>1050000</v>
      </c>
    </row>
    <row r="9" spans="1:9" ht="15" thickBot="1" x14ac:dyDescent="0.35">
      <c r="A9" s="16">
        <v>2</v>
      </c>
      <c r="B9" s="5">
        <v>65000</v>
      </c>
      <c r="C9" s="11">
        <v>45698</v>
      </c>
      <c r="D9" s="18" t="s">
        <v>49</v>
      </c>
      <c r="E9" s="18" t="s">
        <v>53</v>
      </c>
      <c r="F9" s="18" t="s">
        <v>29</v>
      </c>
      <c r="G9" s="18" t="s">
        <v>9</v>
      </c>
      <c r="H9" s="21" t="s">
        <v>12</v>
      </c>
      <c r="I9" s="28">
        <f>Table3[[#This Row],[Units Sold]]*Table3[[#This Row],[Unit Price]]</f>
        <v>130000</v>
      </c>
    </row>
    <row r="10" spans="1:9" ht="15" thickTop="1" x14ac:dyDescent="0.3">
      <c r="A10" s="15">
        <v>14</v>
      </c>
      <c r="B10" s="10">
        <v>175000</v>
      </c>
      <c r="C10" s="9">
        <v>45689</v>
      </c>
      <c r="D10" s="21" t="s">
        <v>50</v>
      </c>
      <c r="E10" s="21" t="s">
        <v>20</v>
      </c>
      <c r="F10" s="21" t="s">
        <v>34</v>
      </c>
      <c r="G10" s="20" t="s">
        <v>56</v>
      </c>
      <c r="H10" s="18" t="s">
        <v>18</v>
      </c>
      <c r="I10" s="28">
        <f>Table3[[#This Row],[Units Sold]]*Table3[[#This Row],[Unit Price]]</f>
        <v>2450000</v>
      </c>
    </row>
    <row r="11" spans="1:9" ht="15" thickBot="1" x14ac:dyDescent="0.35">
      <c r="A11" s="16">
        <v>4</v>
      </c>
      <c r="B11" s="5">
        <v>150000</v>
      </c>
      <c r="C11" s="11">
        <v>45836</v>
      </c>
      <c r="D11" s="18" t="s">
        <v>19</v>
      </c>
      <c r="E11" s="21" t="s">
        <v>11</v>
      </c>
      <c r="F11" s="18" t="s">
        <v>29</v>
      </c>
      <c r="G11" s="18" t="s">
        <v>13</v>
      </c>
      <c r="H11" s="21" t="s">
        <v>12</v>
      </c>
      <c r="I11" s="28">
        <f>Table3[[#This Row],[Units Sold]]*Table3[[#This Row],[Unit Price]]</f>
        <v>600000</v>
      </c>
    </row>
    <row r="12" spans="1:9" ht="15" thickTop="1" x14ac:dyDescent="0.3">
      <c r="A12" s="15">
        <v>20</v>
      </c>
      <c r="B12" s="10">
        <v>150000</v>
      </c>
      <c r="C12" s="9">
        <v>45765</v>
      </c>
      <c r="D12" s="18" t="s">
        <v>19</v>
      </c>
      <c r="E12" s="21" t="s">
        <v>11</v>
      </c>
      <c r="F12" s="21" t="s">
        <v>34</v>
      </c>
      <c r="G12" s="18" t="s">
        <v>9</v>
      </c>
      <c r="H12" s="20" t="s">
        <v>8</v>
      </c>
      <c r="I12" s="28">
        <f>Table3[[#This Row],[Units Sold]]*Table3[[#This Row],[Unit Price]]</f>
        <v>3000000</v>
      </c>
    </row>
    <row r="13" spans="1:9" x14ac:dyDescent="0.3">
      <c r="A13" s="16">
        <v>6</v>
      </c>
      <c r="B13" s="5">
        <v>85000</v>
      </c>
      <c r="C13" s="11">
        <v>45713</v>
      </c>
      <c r="D13" s="18" t="s">
        <v>51</v>
      </c>
      <c r="E13" s="18" t="s">
        <v>30</v>
      </c>
      <c r="F13" s="18" t="s">
        <v>15</v>
      </c>
      <c r="G13" s="18" t="s">
        <v>16</v>
      </c>
      <c r="H13" s="21" t="s">
        <v>10</v>
      </c>
      <c r="I13" s="28">
        <f>Table3[[#This Row],[Units Sold]]*Table3[[#This Row],[Unit Price]]</f>
        <v>510000</v>
      </c>
    </row>
    <row r="14" spans="1:9" x14ac:dyDescent="0.3">
      <c r="A14" s="15">
        <v>1</v>
      </c>
      <c r="B14" s="10">
        <v>150000</v>
      </c>
      <c r="C14" s="9">
        <v>45776</v>
      </c>
      <c r="D14" s="18" t="s">
        <v>19</v>
      </c>
      <c r="E14" s="21" t="s">
        <v>11</v>
      </c>
      <c r="F14" s="21" t="s">
        <v>15</v>
      </c>
      <c r="G14" s="21" t="s">
        <v>58</v>
      </c>
      <c r="H14" s="21" t="s">
        <v>12</v>
      </c>
      <c r="I14" s="28">
        <f>Table3[[#This Row],[Units Sold]]*Table3[[#This Row],[Unit Price]]</f>
        <v>150000</v>
      </c>
    </row>
    <row r="15" spans="1:9" ht="15" thickBot="1" x14ac:dyDescent="0.35">
      <c r="A15" s="16">
        <v>18</v>
      </c>
      <c r="B15" s="5">
        <v>35000</v>
      </c>
      <c r="C15" s="11">
        <v>45690</v>
      </c>
      <c r="D15" s="18" t="s">
        <v>47</v>
      </c>
      <c r="E15" s="18" t="s">
        <v>27</v>
      </c>
      <c r="F15" s="18" t="s">
        <v>22</v>
      </c>
      <c r="G15" s="18" t="s">
        <v>59</v>
      </c>
      <c r="H15" s="18" t="s">
        <v>18</v>
      </c>
      <c r="I15" s="28">
        <f>Table3[[#This Row],[Units Sold]]*Table3[[#This Row],[Unit Price]]</f>
        <v>630000</v>
      </c>
    </row>
    <row r="16" spans="1:9" ht="15" thickTop="1" x14ac:dyDescent="0.3">
      <c r="A16" s="15">
        <v>2</v>
      </c>
      <c r="B16" s="10">
        <v>85000</v>
      </c>
      <c r="C16" s="9">
        <v>45762</v>
      </c>
      <c r="D16" s="18" t="s">
        <v>51</v>
      </c>
      <c r="E16" s="18" t="s">
        <v>30</v>
      </c>
      <c r="F16" s="18" t="s">
        <v>54</v>
      </c>
      <c r="G16" s="20" t="s">
        <v>56</v>
      </c>
      <c r="H16" s="20" t="s">
        <v>8</v>
      </c>
      <c r="I16" s="28">
        <f>Table3[[#This Row],[Units Sold]]*Table3[[#This Row],[Unit Price]]</f>
        <v>170000</v>
      </c>
    </row>
    <row r="17" spans="1:9" x14ac:dyDescent="0.3">
      <c r="A17" s="16">
        <v>11</v>
      </c>
      <c r="B17" s="5">
        <v>62035</v>
      </c>
      <c r="C17" s="11">
        <v>45820</v>
      </c>
      <c r="D17" s="18" t="s">
        <v>49</v>
      </c>
      <c r="E17" s="18" t="s">
        <v>53</v>
      </c>
      <c r="F17" s="18" t="s">
        <v>22</v>
      </c>
      <c r="G17" s="18" t="s">
        <v>60</v>
      </c>
      <c r="H17" s="18" t="s">
        <v>18</v>
      </c>
      <c r="I17" s="28">
        <f>Table3[[#This Row],[Units Sold]]*Table3[[#This Row],[Unit Price]]</f>
        <v>682385</v>
      </c>
    </row>
    <row r="18" spans="1:9" x14ac:dyDescent="0.3">
      <c r="A18" s="15">
        <v>10</v>
      </c>
      <c r="B18" s="10">
        <v>175000</v>
      </c>
      <c r="C18" s="9">
        <v>45688</v>
      </c>
      <c r="D18" s="21" t="s">
        <v>50</v>
      </c>
      <c r="E18" s="21" t="s">
        <v>20</v>
      </c>
      <c r="F18" s="21" t="s">
        <v>34</v>
      </c>
      <c r="G18" s="21" t="s">
        <v>16</v>
      </c>
      <c r="H18" s="18" t="s">
        <v>18</v>
      </c>
      <c r="I18" s="28">
        <f>Table3[[#This Row],[Units Sold]]*Table3[[#This Row],[Unit Price]]</f>
        <v>1750000</v>
      </c>
    </row>
    <row r="19" spans="1:9" x14ac:dyDescent="0.3">
      <c r="A19" s="16">
        <v>4</v>
      </c>
      <c r="B19" s="5">
        <v>150000</v>
      </c>
      <c r="C19" s="11">
        <v>45690</v>
      </c>
      <c r="D19" s="18" t="s">
        <v>19</v>
      </c>
      <c r="E19" s="21" t="s">
        <v>11</v>
      </c>
      <c r="F19" s="18" t="s">
        <v>42</v>
      </c>
      <c r="G19" s="18" t="s">
        <v>61</v>
      </c>
      <c r="H19" s="21" t="s">
        <v>12</v>
      </c>
      <c r="I19" s="28">
        <f>Table3[[#This Row],[Units Sold]]*Table3[[#This Row],[Unit Price]]</f>
        <v>600000</v>
      </c>
    </row>
    <row r="20" spans="1:9" x14ac:dyDescent="0.3">
      <c r="A20" s="15">
        <v>3</v>
      </c>
      <c r="B20" s="10">
        <v>175000</v>
      </c>
      <c r="C20" s="9">
        <v>45802</v>
      </c>
      <c r="D20" s="21" t="s">
        <v>50</v>
      </c>
      <c r="E20" s="21" t="s">
        <v>20</v>
      </c>
      <c r="F20" s="21" t="s">
        <v>55</v>
      </c>
      <c r="G20" s="21" t="s">
        <v>32</v>
      </c>
      <c r="H20" s="21" t="s">
        <v>12</v>
      </c>
      <c r="I20" s="28">
        <f>Table3[[#This Row],[Units Sold]]*Table3[[#This Row],[Unit Price]]</f>
        <v>525000</v>
      </c>
    </row>
    <row r="21" spans="1:9" ht="15" thickBot="1" x14ac:dyDescent="0.35">
      <c r="A21" s="16">
        <v>5</v>
      </c>
      <c r="B21" s="5">
        <v>175000</v>
      </c>
      <c r="C21" s="11">
        <v>45714</v>
      </c>
      <c r="D21" s="18" t="s">
        <v>50</v>
      </c>
      <c r="E21" s="18" t="s">
        <v>20</v>
      </c>
      <c r="F21" s="18" t="s">
        <v>22</v>
      </c>
      <c r="G21" s="18" t="s">
        <v>32</v>
      </c>
      <c r="H21" s="21" t="s">
        <v>10</v>
      </c>
      <c r="I21" s="28">
        <f>Table3[[#This Row],[Units Sold]]*Table3[[#This Row],[Unit Price]]</f>
        <v>875000</v>
      </c>
    </row>
    <row r="22" spans="1:9" ht="15" thickTop="1" x14ac:dyDescent="0.3">
      <c r="A22" s="15">
        <v>20</v>
      </c>
      <c r="B22" s="10">
        <v>250000</v>
      </c>
      <c r="C22" s="9">
        <v>45753</v>
      </c>
      <c r="D22" s="20" t="s">
        <v>23</v>
      </c>
      <c r="E22" s="21" t="s">
        <v>24</v>
      </c>
      <c r="F22" s="21" t="s">
        <v>55</v>
      </c>
      <c r="G22" s="18" t="s">
        <v>9</v>
      </c>
      <c r="H22" s="18" t="s">
        <v>18</v>
      </c>
      <c r="I22" s="28">
        <f>Table3[[#This Row],[Units Sold]]*Table3[[#This Row],[Unit Price]]</f>
        <v>5000000</v>
      </c>
    </row>
    <row r="23" spans="1:9" x14ac:dyDescent="0.3">
      <c r="A23" s="16">
        <v>2</v>
      </c>
      <c r="B23" s="5">
        <v>175000</v>
      </c>
      <c r="C23" s="11">
        <v>45712</v>
      </c>
      <c r="D23" s="18" t="s">
        <v>50</v>
      </c>
      <c r="E23" s="18" t="s">
        <v>20</v>
      </c>
      <c r="F23" s="18" t="s">
        <v>29</v>
      </c>
      <c r="G23" s="18" t="s">
        <v>59</v>
      </c>
      <c r="H23" s="18" t="s">
        <v>18</v>
      </c>
      <c r="I23" s="28">
        <f>Table3[[#This Row],[Units Sold]]*Table3[[#This Row],[Unit Price]]</f>
        <v>350000</v>
      </c>
    </row>
    <row r="24" spans="1:9" x14ac:dyDescent="0.3">
      <c r="A24" s="15">
        <v>20</v>
      </c>
      <c r="B24" s="10">
        <v>150000</v>
      </c>
      <c r="C24" s="9">
        <v>45740</v>
      </c>
      <c r="D24" s="18" t="s">
        <v>19</v>
      </c>
      <c r="E24" s="21" t="s">
        <v>11</v>
      </c>
      <c r="F24" s="21" t="s">
        <v>34</v>
      </c>
      <c r="G24" s="21" t="s">
        <v>25</v>
      </c>
      <c r="H24" s="18" t="s">
        <v>18</v>
      </c>
      <c r="I24" s="28">
        <f>Table3[[#This Row],[Units Sold]]*Table3[[#This Row],[Unit Price]]</f>
        <v>3000000</v>
      </c>
    </row>
    <row r="25" spans="1:9" ht="15" thickBot="1" x14ac:dyDescent="0.35">
      <c r="A25" s="16">
        <v>8</v>
      </c>
      <c r="B25" s="5">
        <v>150000</v>
      </c>
      <c r="C25" s="11">
        <v>45805</v>
      </c>
      <c r="D25" s="18" t="s">
        <v>19</v>
      </c>
      <c r="E25" s="21" t="s">
        <v>11</v>
      </c>
      <c r="F25" s="18" t="s">
        <v>54</v>
      </c>
      <c r="G25" s="18" t="s">
        <v>16</v>
      </c>
      <c r="H25" s="21" t="s">
        <v>10</v>
      </c>
      <c r="I25" s="28">
        <f>Table3[[#This Row],[Units Sold]]*Table3[[#This Row],[Unit Price]]</f>
        <v>1200000</v>
      </c>
    </row>
    <row r="26" spans="1:9" ht="15" thickTop="1" x14ac:dyDescent="0.3">
      <c r="A26" s="15">
        <v>19</v>
      </c>
      <c r="B26" s="10">
        <v>250000</v>
      </c>
      <c r="C26" s="9">
        <v>45789</v>
      </c>
      <c r="D26" s="20" t="s">
        <v>23</v>
      </c>
      <c r="E26" s="21" t="s">
        <v>24</v>
      </c>
      <c r="F26" s="21" t="s">
        <v>55</v>
      </c>
      <c r="G26" s="21" t="s">
        <v>32</v>
      </c>
      <c r="H26" s="21" t="s">
        <v>12</v>
      </c>
      <c r="I26" s="28">
        <f>Table3[[#This Row],[Units Sold]]*Table3[[#This Row],[Unit Price]]</f>
        <v>4750000</v>
      </c>
    </row>
    <row r="27" spans="1:9" x14ac:dyDescent="0.3">
      <c r="A27" s="16">
        <v>12</v>
      </c>
      <c r="B27" s="5">
        <v>175000</v>
      </c>
      <c r="C27" s="11">
        <v>45788</v>
      </c>
      <c r="D27" s="18" t="s">
        <v>50</v>
      </c>
      <c r="E27" s="18" t="s">
        <v>20</v>
      </c>
      <c r="F27" s="18" t="s">
        <v>22</v>
      </c>
      <c r="G27" s="18" t="s">
        <v>16</v>
      </c>
      <c r="H27" s="18" t="s">
        <v>18</v>
      </c>
      <c r="I27" s="28">
        <f>Table3[[#This Row],[Units Sold]]*Table3[[#This Row],[Unit Price]]</f>
        <v>2100000</v>
      </c>
    </row>
    <row r="28" spans="1:9" x14ac:dyDescent="0.3">
      <c r="A28" s="15">
        <v>11</v>
      </c>
      <c r="B28" s="10">
        <v>85000</v>
      </c>
      <c r="C28" s="9">
        <v>45673</v>
      </c>
      <c r="D28" s="18" t="s">
        <v>51</v>
      </c>
      <c r="E28" s="18" t="s">
        <v>30</v>
      </c>
      <c r="F28" s="21" t="s">
        <v>55</v>
      </c>
      <c r="G28" s="21" t="s">
        <v>32</v>
      </c>
      <c r="H28" s="21" t="s">
        <v>10</v>
      </c>
      <c r="I28" s="28">
        <f>Table3[[#This Row],[Units Sold]]*Table3[[#This Row],[Unit Price]]</f>
        <v>935000</v>
      </c>
    </row>
    <row r="29" spans="1:9" ht="15" thickBot="1" x14ac:dyDescent="0.35">
      <c r="A29" s="16">
        <v>17</v>
      </c>
      <c r="B29" s="5">
        <v>65000</v>
      </c>
      <c r="C29" s="11">
        <v>45787</v>
      </c>
      <c r="D29" s="18" t="s">
        <v>49</v>
      </c>
      <c r="E29" s="18" t="s">
        <v>53</v>
      </c>
      <c r="F29" s="18" t="s">
        <v>22</v>
      </c>
      <c r="G29" s="21" t="s">
        <v>58</v>
      </c>
      <c r="H29" s="21" t="s">
        <v>10</v>
      </c>
      <c r="I29" s="28">
        <f>Table3[[#This Row],[Units Sold]]*Table3[[#This Row],[Unit Price]]</f>
        <v>1105000</v>
      </c>
    </row>
    <row r="30" spans="1:9" ht="15" thickTop="1" x14ac:dyDescent="0.3">
      <c r="A30" s="15">
        <v>15</v>
      </c>
      <c r="B30" s="10">
        <v>350000</v>
      </c>
      <c r="C30" s="9">
        <v>45689</v>
      </c>
      <c r="D30" s="21" t="s">
        <v>47</v>
      </c>
      <c r="E30" s="18" t="s">
        <v>27</v>
      </c>
      <c r="F30" s="21" t="s">
        <v>46</v>
      </c>
      <c r="G30" s="21" t="s">
        <v>57</v>
      </c>
      <c r="H30" s="20" t="s">
        <v>8</v>
      </c>
      <c r="I30" s="28">
        <f>Table3[[#This Row],[Units Sold]]*Table3[[#This Row],[Unit Price]]</f>
        <v>5250000</v>
      </c>
    </row>
    <row r="31" spans="1:9" x14ac:dyDescent="0.3">
      <c r="A31" s="16">
        <v>8</v>
      </c>
      <c r="B31" s="5">
        <v>350000</v>
      </c>
      <c r="C31" s="11">
        <v>45694</v>
      </c>
      <c r="D31" s="18" t="s">
        <v>47</v>
      </c>
      <c r="E31" s="18" t="s">
        <v>27</v>
      </c>
      <c r="F31" s="18" t="s">
        <v>29</v>
      </c>
      <c r="G31" s="18" t="s">
        <v>32</v>
      </c>
      <c r="H31" s="21" t="s">
        <v>12</v>
      </c>
      <c r="I31" s="28">
        <f>Table3[[#This Row],[Units Sold]]*Table3[[#This Row],[Unit Price]]</f>
        <v>2800000</v>
      </c>
    </row>
    <row r="32" spans="1:9" x14ac:dyDescent="0.3">
      <c r="A32" s="15">
        <v>14</v>
      </c>
      <c r="B32" s="10">
        <v>350000</v>
      </c>
      <c r="C32" s="9">
        <v>45825</v>
      </c>
      <c r="D32" s="21" t="s">
        <v>47</v>
      </c>
      <c r="E32" s="18" t="s">
        <v>27</v>
      </c>
      <c r="F32" s="21" t="s">
        <v>22</v>
      </c>
      <c r="G32" s="21" t="s">
        <v>63</v>
      </c>
      <c r="H32" s="21" t="s">
        <v>12</v>
      </c>
      <c r="I32" s="28">
        <f>Table3[[#This Row],[Units Sold]]*Table3[[#This Row],[Unit Price]]</f>
        <v>4900000</v>
      </c>
    </row>
    <row r="33" spans="1:9" x14ac:dyDescent="0.3">
      <c r="A33" s="16">
        <v>12</v>
      </c>
      <c r="B33" s="5">
        <v>150000</v>
      </c>
      <c r="C33" s="11">
        <v>45666</v>
      </c>
      <c r="D33" s="18" t="s">
        <v>19</v>
      </c>
      <c r="E33" s="21" t="s">
        <v>11</v>
      </c>
      <c r="F33" s="18" t="s">
        <v>34</v>
      </c>
      <c r="G33" s="18" t="s">
        <v>13</v>
      </c>
      <c r="H33" s="18" t="s">
        <v>18</v>
      </c>
      <c r="I33" s="28">
        <f>Table3[[#This Row],[Units Sold]]*Table3[[#This Row],[Unit Price]]</f>
        <v>1800000</v>
      </c>
    </row>
    <row r="34" spans="1:9" ht="15" thickBot="1" x14ac:dyDescent="0.35">
      <c r="A34" s="15">
        <v>8</v>
      </c>
      <c r="B34" s="10">
        <v>175000</v>
      </c>
      <c r="C34" s="9">
        <v>45837</v>
      </c>
      <c r="D34" s="21" t="s">
        <v>50</v>
      </c>
      <c r="E34" s="21" t="s">
        <v>20</v>
      </c>
      <c r="F34" s="21" t="s">
        <v>29</v>
      </c>
      <c r="G34" s="18" t="s">
        <v>13</v>
      </c>
      <c r="H34" s="21" t="s">
        <v>10</v>
      </c>
      <c r="I34" s="28">
        <f>Table3[[#This Row],[Units Sold]]*Table3[[#This Row],[Unit Price]]</f>
        <v>1400000</v>
      </c>
    </row>
    <row r="35" spans="1:9" ht="15.6" thickTop="1" thickBot="1" x14ac:dyDescent="0.35">
      <c r="A35" s="16">
        <v>6</v>
      </c>
      <c r="B35" s="5">
        <v>150000</v>
      </c>
      <c r="C35" s="11">
        <v>45735</v>
      </c>
      <c r="D35" s="18" t="s">
        <v>19</v>
      </c>
      <c r="E35" s="21" t="s">
        <v>11</v>
      </c>
      <c r="F35" s="18" t="s">
        <v>29</v>
      </c>
      <c r="G35" s="18" t="s">
        <v>32</v>
      </c>
      <c r="H35" s="20" t="s">
        <v>8</v>
      </c>
      <c r="I35" s="28">
        <f>Table3[[#This Row],[Units Sold]]*Table3[[#This Row],[Unit Price]]</f>
        <v>900000</v>
      </c>
    </row>
    <row r="36" spans="1:9" ht="15.6" thickTop="1" thickBot="1" x14ac:dyDescent="0.35">
      <c r="A36" s="15">
        <v>20</v>
      </c>
      <c r="B36" s="10">
        <v>2500000</v>
      </c>
      <c r="C36" s="9">
        <v>45694</v>
      </c>
      <c r="D36" s="20" t="s">
        <v>23</v>
      </c>
      <c r="E36" s="21" t="s">
        <v>24</v>
      </c>
      <c r="F36" s="21" t="s">
        <v>29</v>
      </c>
      <c r="G36" s="21" t="s">
        <v>16</v>
      </c>
      <c r="H36" s="21" t="s">
        <v>12</v>
      </c>
      <c r="I36" s="28">
        <f>Table3[[#This Row],[Units Sold]]*Table3[[#This Row],[Unit Price]]</f>
        <v>50000000</v>
      </c>
    </row>
    <row r="37" spans="1:9" ht="15.6" thickTop="1" thickBot="1" x14ac:dyDescent="0.35">
      <c r="A37" s="16">
        <v>12</v>
      </c>
      <c r="B37" s="5">
        <v>65000</v>
      </c>
      <c r="C37" s="11">
        <v>45753</v>
      </c>
      <c r="D37" s="18" t="s">
        <v>49</v>
      </c>
      <c r="E37" s="18" t="s">
        <v>53</v>
      </c>
      <c r="F37" s="18" t="s">
        <v>29</v>
      </c>
      <c r="G37" s="18" t="s">
        <v>25</v>
      </c>
      <c r="H37" s="20" t="s">
        <v>8</v>
      </c>
      <c r="I37" s="28">
        <f>Table3[[#This Row],[Units Sold]]*Table3[[#This Row],[Unit Price]]</f>
        <v>780000</v>
      </c>
    </row>
    <row r="38" spans="1:9" ht="15.6" thickTop="1" thickBot="1" x14ac:dyDescent="0.35">
      <c r="A38" s="15">
        <v>4</v>
      </c>
      <c r="B38" s="10">
        <v>73740</v>
      </c>
      <c r="C38" s="9">
        <v>45695</v>
      </c>
      <c r="D38" s="21" t="s">
        <v>49</v>
      </c>
      <c r="E38" s="18" t="s">
        <v>53</v>
      </c>
      <c r="F38" s="18" t="s">
        <v>42</v>
      </c>
      <c r="G38" s="21" t="s">
        <v>63</v>
      </c>
      <c r="H38" s="20" t="s">
        <v>8</v>
      </c>
      <c r="I38" s="28">
        <f>Table3[[#This Row],[Units Sold]]*Table3[[#This Row],[Unit Price]]</f>
        <v>294960</v>
      </c>
    </row>
    <row r="39" spans="1:9" ht="15" thickTop="1" x14ac:dyDescent="0.3">
      <c r="A39" s="16">
        <v>18</v>
      </c>
      <c r="B39" s="5">
        <v>175000</v>
      </c>
      <c r="C39" s="11">
        <v>45723</v>
      </c>
      <c r="D39" s="18" t="s">
        <v>50</v>
      </c>
      <c r="E39" s="18" t="s">
        <v>20</v>
      </c>
      <c r="F39" s="21" t="s">
        <v>55</v>
      </c>
      <c r="G39" s="20" t="s">
        <v>56</v>
      </c>
      <c r="H39" s="18" t="s">
        <v>18</v>
      </c>
      <c r="I39" s="28">
        <f>Table3[[#This Row],[Units Sold]]*Table3[[#This Row],[Unit Price]]</f>
        <v>3150000</v>
      </c>
    </row>
    <row r="40" spans="1:9" x14ac:dyDescent="0.3">
      <c r="A40" s="15">
        <v>10</v>
      </c>
      <c r="B40" s="10">
        <v>180000</v>
      </c>
      <c r="C40" s="9">
        <v>45784</v>
      </c>
      <c r="D40" s="21" t="s">
        <v>48</v>
      </c>
      <c r="E40" s="21" t="s">
        <v>11</v>
      </c>
      <c r="F40" s="18" t="s">
        <v>42</v>
      </c>
      <c r="G40" s="21" t="s">
        <v>36</v>
      </c>
      <c r="H40" s="21" t="s">
        <v>10</v>
      </c>
      <c r="I40" s="28">
        <f>Table3[[#This Row],[Units Sold]]*Table3[[#This Row],[Unit Price]]</f>
        <v>1800000</v>
      </c>
    </row>
    <row r="41" spans="1:9" x14ac:dyDescent="0.3">
      <c r="A41" s="16">
        <v>10</v>
      </c>
      <c r="B41" s="5">
        <v>65000</v>
      </c>
      <c r="C41" s="11">
        <v>45838</v>
      </c>
      <c r="D41" s="18" t="s">
        <v>52</v>
      </c>
      <c r="E41" s="18" t="s">
        <v>53</v>
      </c>
      <c r="F41" s="18" t="s">
        <v>45</v>
      </c>
      <c r="G41" s="18" t="s">
        <v>9</v>
      </c>
      <c r="H41" s="18" t="s">
        <v>18</v>
      </c>
      <c r="I41" s="28">
        <f>Table3[[#This Row],[Units Sold]]*Table3[[#This Row],[Unit Price]]</f>
        <v>650000</v>
      </c>
    </row>
    <row r="42" spans="1:9" ht="15" thickBot="1" x14ac:dyDescent="0.35">
      <c r="A42" s="15">
        <v>3</v>
      </c>
      <c r="B42" s="10">
        <v>150000</v>
      </c>
      <c r="C42" s="9">
        <v>45713</v>
      </c>
      <c r="D42" s="18" t="s">
        <v>19</v>
      </c>
      <c r="E42" s="21" t="s">
        <v>11</v>
      </c>
      <c r="F42" s="18" t="s">
        <v>42</v>
      </c>
      <c r="G42" s="21" t="s">
        <v>63</v>
      </c>
      <c r="H42" s="21" t="s">
        <v>10</v>
      </c>
      <c r="I42" s="28">
        <f>Table3[[#This Row],[Units Sold]]*Table3[[#This Row],[Unit Price]]</f>
        <v>450000</v>
      </c>
    </row>
    <row r="43" spans="1:9" ht="15.6" thickTop="1" thickBot="1" x14ac:dyDescent="0.35">
      <c r="A43" s="16">
        <v>8</v>
      </c>
      <c r="B43" s="5">
        <v>180000</v>
      </c>
      <c r="C43" s="11">
        <v>45670</v>
      </c>
      <c r="D43" s="18" t="s">
        <v>48</v>
      </c>
      <c r="E43" s="21" t="s">
        <v>11</v>
      </c>
      <c r="F43" s="18" t="s">
        <v>15</v>
      </c>
      <c r="G43" s="18" t="s">
        <v>16</v>
      </c>
      <c r="H43" s="20" t="s">
        <v>8</v>
      </c>
      <c r="I43" s="28">
        <f>Table3[[#This Row],[Units Sold]]*Table3[[#This Row],[Unit Price]]</f>
        <v>1440000</v>
      </c>
    </row>
    <row r="44" spans="1:9" ht="15" thickTop="1" x14ac:dyDescent="0.3">
      <c r="A44" s="15">
        <v>3</v>
      </c>
      <c r="B44" s="10">
        <v>250000</v>
      </c>
      <c r="C44" s="9">
        <v>45823</v>
      </c>
      <c r="D44" s="20" t="s">
        <v>23</v>
      </c>
      <c r="E44" s="21" t="s">
        <v>24</v>
      </c>
      <c r="F44" s="18" t="s">
        <v>42</v>
      </c>
      <c r="G44" s="21" t="s">
        <v>36</v>
      </c>
      <c r="H44" s="20" t="s">
        <v>8</v>
      </c>
      <c r="I44" s="28">
        <f>Table3[[#This Row],[Units Sold]]*Table3[[#This Row],[Unit Price]]</f>
        <v>750000</v>
      </c>
    </row>
    <row r="45" spans="1:9" x14ac:dyDescent="0.3">
      <c r="A45" s="16">
        <v>18</v>
      </c>
      <c r="B45" s="5">
        <v>85000</v>
      </c>
      <c r="C45" s="11">
        <v>45716</v>
      </c>
      <c r="D45" s="18" t="s">
        <v>51</v>
      </c>
      <c r="E45" s="18" t="s">
        <v>30</v>
      </c>
      <c r="F45" s="18" t="s">
        <v>54</v>
      </c>
      <c r="G45" s="18" t="s">
        <v>13</v>
      </c>
      <c r="H45" s="18" t="s">
        <v>18</v>
      </c>
      <c r="I45" s="28">
        <f>Table3[[#This Row],[Units Sold]]*Table3[[#This Row],[Unit Price]]</f>
        <v>1530000</v>
      </c>
    </row>
    <row r="46" spans="1:9" x14ac:dyDescent="0.3">
      <c r="A46" s="15">
        <v>9</v>
      </c>
      <c r="B46" s="10">
        <v>150000</v>
      </c>
      <c r="C46" s="9">
        <v>45707</v>
      </c>
      <c r="D46" s="18" t="s">
        <v>19</v>
      </c>
      <c r="E46" s="21" t="s">
        <v>11</v>
      </c>
      <c r="F46" s="18" t="s">
        <v>42</v>
      </c>
      <c r="G46" s="21" t="s">
        <v>58</v>
      </c>
      <c r="H46" s="21" t="s">
        <v>12</v>
      </c>
      <c r="I46" s="28">
        <f>Table3[[#This Row],[Units Sold]]*Table3[[#This Row],[Unit Price]]</f>
        <v>1350000</v>
      </c>
    </row>
    <row r="47" spans="1:9" x14ac:dyDescent="0.3">
      <c r="A47" s="16">
        <v>18</v>
      </c>
      <c r="B47" s="5">
        <v>150000</v>
      </c>
      <c r="C47" s="11">
        <v>45719</v>
      </c>
      <c r="D47" s="18" t="s">
        <v>19</v>
      </c>
      <c r="E47" s="21" t="s">
        <v>11</v>
      </c>
      <c r="F47" s="18" t="s">
        <v>34</v>
      </c>
      <c r="G47" s="18" t="s">
        <v>13</v>
      </c>
      <c r="H47" s="18" t="s">
        <v>18</v>
      </c>
      <c r="I47" s="28">
        <f>Table3[[#This Row],[Units Sold]]*Table3[[#This Row],[Unit Price]]</f>
        <v>2700000</v>
      </c>
    </row>
    <row r="48" spans="1:9" ht="15" thickBot="1" x14ac:dyDescent="0.35">
      <c r="A48" s="15">
        <v>11</v>
      </c>
      <c r="B48" s="10">
        <v>150000</v>
      </c>
      <c r="C48" s="9">
        <v>45748</v>
      </c>
      <c r="D48" s="18" t="s">
        <v>19</v>
      </c>
      <c r="E48" s="21" t="s">
        <v>11</v>
      </c>
      <c r="F48" s="18" t="s">
        <v>42</v>
      </c>
      <c r="G48" s="21" t="s">
        <v>36</v>
      </c>
      <c r="H48" s="21" t="s">
        <v>12</v>
      </c>
      <c r="I48" s="28">
        <f>Table3[[#This Row],[Units Sold]]*Table3[[#This Row],[Unit Price]]</f>
        <v>1650000</v>
      </c>
    </row>
    <row r="49" spans="1:9" ht="15.6" thickTop="1" thickBot="1" x14ac:dyDescent="0.35">
      <c r="A49" s="16">
        <v>4</v>
      </c>
      <c r="B49" s="5">
        <v>350000</v>
      </c>
      <c r="C49" s="11">
        <v>45754</v>
      </c>
      <c r="D49" s="18" t="s">
        <v>47</v>
      </c>
      <c r="E49" s="18" t="s">
        <v>27</v>
      </c>
      <c r="F49" s="21" t="s">
        <v>55</v>
      </c>
      <c r="G49" s="18" t="s">
        <v>61</v>
      </c>
      <c r="H49" s="20" t="s">
        <v>8</v>
      </c>
      <c r="I49" s="28">
        <f>Table3[[#This Row],[Units Sold]]*Table3[[#This Row],[Unit Price]]</f>
        <v>1400000</v>
      </c>
    </row>
    <row r="50" spans="1:9" ht="15.6" thickTop="1" thickBot="1" x14ac:dyDescent="0.35">
      <c r="A50" s="15">
        <v>19</v>
      </c>
      <c r="B50" s="10">
        <v>150000</v>
      </c>
      <c r="C50" s="9">
        <v>45714</v>
      </c>
      <c r="D50" s="18" t="s">
        <v>19</v>
      </c>
      <c r="E50" s="21" t="s">
        <v>11</v>
      </c>
      <c r="F50" s="21" t="s">
        <v>44</v>
      </c>
      <c r="G50" s="21" t="s">
        <v>58</v>
      </c>
      <c r="H50" s="20" t="s">
        <v>8</v>
      </c>
      <c r="I50" s="28">
        <f>Table3[[#This Row],[Units Sold]]*Table3[[#This Row],[Unit Price]]</f>
        <v>2850000</v>
      </c>
    </row>
    <row r="51" spans="1:9" ht="15" thickTop="1" x14ac:dyDescent="0.3">
      <c r="A51" s="16">
        <v>7</v>
      </c>
      <c r="B51" s="5">
        <v>85000</v>
      </c>
      <c r="C51" s="11">
        <v>45809</v>
      </c>
      <c r="D51" s="18" t="s">
        <v>51</v>
      </c>
      <c r="E51" s="18" t="s">
        <v>30</v>
      </c>
      <c r="F51" s="18" t="s">
        <v>15</v>
      </c>
      <c r="G51" s="20" t="s">
        <v>56</v>
      </c>
      <c r="H51" s="18" t="s">
        <v>18</v>
      </c>
      <c r="I51" s="28">
        <f>Table3[[#This Row],[Units Sold]]*Table3[[#This Row],[Unit Price]]</f>
        <v>595000</v>
      </c>
    </row>
    <row r="52" spans="1:9" x14ac:dyDescent="0.3">
      <c r="A52" s="15">
        <v>13</v>
      </c>
      <c r="B52" s="10">
        <v>57912</v>
      </c>
      <c r="C52" s="9">
        <v>45671</v>
      </c>
      <c r="D52" s="21" t="s">
        <v>49</v>
      </c>
      <c r="E52" s="18" t="s">
        <v>53</v>
      </c>
      <c r="F52" s="21" t="s">
        <v>34</v>
      </c>
      <c r="G52" s="21" t="s">
        <v>32</v>
      </c>
      <c r="H52" s="21" t="s">
        <v>12</v>
      </c>
      <c r="I52" s="28">
        <f>Table3[[#This Row],[Units Sold]]*Table3[[#This Row],[Unit Price]]</f>
        <v>752856</v>
      </c>
    </row>
    <row r="53" spans="1:9" x14ac:dyDescent="0.3">
      <c r="A53" s="16">
        <v>18</v>
      </c>
      <c r="B53" s="5">
        <v>650000</v>
      </c>
      <c r="C53" s="11">
        <v>45710</v>
      </c>
      <c r="D53" s="18" t="s">
        <v>49</v>
      </c>
      <c r="E53" s="18" t="s">
        <v>53</v>
      </c>
      <c r="F53" s="21" t="s">
        <v>55</v>
      </c>
      <c r="G53" s="18" t="s">
        <v>61</v>
      </c>
      <c r="H53" s="18" t="s">
        <v>18</v>
      </c>
      <c r="I53" s="28">
        <f>Table3[[#This Row],[Units Sold]]*Table3[[#This Row],[Unit Price]]</f>
        <v>11700000</v>
      </c>
    </row>
    <row r="54" spans="1:9" ht="15" thickBot="1" x14ac:dyDescent="0.35">
      <c r="A54" s="15">
        <v>5</v>
      </c>
      <c r="B54" s="10">
        <v>65000</v>
      </c>
      <c r="C54" s="9">
        <v>45740</v>
      </c>
      <c r="D54" s="21" t="s">
        <v>49</v>
      </c>
      <c r="E54" s="18" t="s">
        <v>53</v>
      </c>
      <c r="F54" s="21" t="s">
        <v>40</v>
      </c>
      <c r="G54" s="21" t="s">
        <v>58</v>
      </c>
      <c r="H54" s="21" t="s">
        <v>12</v>
      </c>
      <c r="I54" s="28">
        <f>Table3[[#This Row],[Units Sold]]*Table3[[#This Row],[Unit Price]]</f>
        <v>325000</v>
      </c>
    </row>
    <row r="55" spans="1:9" ht="15" thickTop="1" x14ac:dyDescent="0.3">
      <c r="A55" s="16">
        <v>13</v>
      </c>
      <c r="B55" s="5">
        <v>350000</v>
      </c>
      <c r="C55" s="11">
        <v>45684</v>
      </c>
      <c r="D55" s="18" t="s">
        <v>47</v>
      </c>
      <c r="E55" s="18" t="s">
        <v>27</v>
      </c>
      <c r="F55" s="18" t="s">
        <v>22</v>
      </c>
      <c r="G55" s="18" t="s">
        <v>32</v>
      </c>
      <c r="H55" s="20" t="s">
        <v>8</v>
      </c>
      <c r="I55" s="28">
        <f>Table3[[#This Row],[Units Sold]]*Table3[[#This Row],[Unit Price]]</f>
        <v>4550000</v>
      </c>
    </row>
    <row r="56" spans="1:9" x14ac:dyDescent="0.3">
      <c r="A56" s="15">
        <v>19</v>
      </c>
      <c r="B56" s="10">
        <v>350000</v>
      </c>
      <c r="C56" s="9">
        <v>45661</v>
      </c>
      <c r="D56" s="21" t="s">
        <v>47</v>
      </c>
      <c r="E56" s="18" t="s">
        <v>27</v>
      </c>
      <c r="F56" s="18" t="s">
        <v>54</v>
      </c>
      <c r="G56" s="18" t="s">
        <v>61</v>
      </c>
      <c r="H56" s="21" t="s">
        <v>12</v>
      </c>
      <c r="I56" s="28">
        <f>Table3[[#This Row],[Units Sold]]*Table3[[#This Row],[Unit Price]]</f>
        <v>6650000</v>
      </c>
    </row>
    <row r="57" spans="1:9" x14ac:dyDescent="0.3">
      <c r="A57" s="16">
        <v>9</v>
      </c>
      <c r="B57" s="5">
        <v>180000</v>
      </c>
      <c r="C57" s="11">
        <v>45724</v>
      </c>
      <c r="D57" s="18" t="s">
        <v>48</v>
      </c>
      <c r="E57" s="21" t="s">
        <v>11</v>
      </c>
      <c r="F57" s="18" t="s">
        <v>15</v>
      </c>
      <c r="G57" s="18" t="s">
        <v>62</v>
      </c>
      <c r="H57" s="21" t="s">
        <v>10</v>
      </c>
      <c r="I57" s="28">
        <f>Table3[[#This Row],[Units Sold]]*Table3[[#This Row],[Unit Price]]</f>
        <v>1620000</v>
      </c>
    </row>
    <row r="58" spans="1:9" x14ac:dyDescent="0.3">
      <c r="A58" s="15">
        <v>10</v>
      </c>
      <c r="B58" s="10">
        <v>150000</v>
      </c>
      <c r="C58" s="9">
        <v>45680</v>
      </c>
      <c r="D58" s="18" t="s">
        <v>19</v>
      </c>
      <c r="E58" s="21" t="s">
        <v>11</v>
      </c>
      <c r="F58" s="21" t="s">
        <v>22</v>
      </c>
      <c r="G58" s="21" t="s">
        <v>25</v>
      </c>
      <c r="H58" s="18" t="s">
        <v>18</v>
      </c>
      <c r="I58" s="28">
        <f>Table3[[#This Row],[Units Sold]]*Table3[[#This Row],[Unit Price]]</f>
        <v>1500000</v>
      </c>
    </row>
    <row r="59" spans="1:9" ht="15" thickBot="1" x14ac:dyDescent="0.35">
      <c r="A59" s="16">
        <v>10</v>
      </c>
      <c r="B59" s="5">
        <v>85000</v>
      </c>
      <c r="C59" s="11">
        <v>45673</v>
      </c>
      <c r="D59" s="18" t="s">
        <v>51</v>
      </c>
      <c r="E59" s="18" t="s">
        <v>30</v>
      </c>
      <c r="F59" s="18" t="s">
        <v>15</v>
      </c>
      <c r="G59" s="21" t="s">
        <v>58</v>
      </c>
      <c r="H59" s="18" t="s">
        <v>18</v>
      </c>
      <c r="I59" s="28">
        <f>Table3[[#This Row],[Units Sold]]*Table3[[#This Row],[Unit Price]]</f>
        <v>850000</v>
      </c>
    </row>
    <row r="60" spans="1:9" ht="15" thickTop="1" x14ac:dyDescent="0.3">
      <c r="A60" s="15">
        <v>5</v>
      </c>
      <c r="B60" s="10">
        <v>25000</v>
      </c>
      <c r="C60" s="9">
        <v>45693</v>
      </c>
      <c r="D60" s="20" t="s">
        <v>23</v>
      </c>
      <c r="E60" s="21" t="s">
        <v>24</v>
      </c>
      <c r="F60" s="21" t="s">
        <v>15</v>
      </c>
      <c r="G60" s="21" t="s">
        <v>57</v>
      </c>
      <c r="H60" s="20" t="s">
        <v>8</v>
      </c>
      <c r="I60" s="28">
        <f>Table3[[#This Row],[Units Sold]]*Table3[[#This Row],[Unit Price]]</f>
        <v>125000</v>
      </c>
    </row>
    <row r="61" spans="1:9" ht="15" thickBot="1" x14ac:dyDescent="0.35">
      <c r="A61" s="16">
        <v>1</v>
      </c>
      <c r="B61" s="5">
        <v>150000</v>
      </c>
      <c r="C61" s="11">
        <v>45802</v>
      </c>
      <c r="D61" s="18" t="s">
        <v>19</v>
      </c>
      <c r="E61" s="21" t="s">
        <v>11</v>
      </c>
      <c r="F61" s="21" t="s">
        <v>55</v>
      </c>
      <c r="G61" s="18" t="s">
        <v>9</v>
      </c>
      <c r="H61" s="18" t="s">
        <v>18</v>
      </c>
      <c r="I61" s="28">
        <f>Table3[[#This Row],[Units Sold]]*Table3[[#This Row],[Unit Price]]</f>
        <v>150000</v>
      </c>
    </row>
    <row r="62" spans="1:9" ht="15.6" thickTop="1" thickBot="1" x14ac:dyDescent="0.35">
      <c r="A62" s="15">
        <v>20</v>
      </c>
      <c r="B62" s="10">
        <v>150000</v>
      </c>
      <c r="C62" s="9">
        <v>45663</v>
      </c>
      <c r="D62" s="18" t="s">
        <v>19</v>
      </c>
      <c r="E62" s="21" t="s">
        <v>11</v>
      </c>
      <c r="F62" s="21" t="s">
        <v>15</v>
      </c>
      <c r="G62" s="18" t="s">
        <v>59</v>
      </c>
      <c r="H62" s="20" t="s">
        <v>8</v>
      </c>
      <c r="I62" s="28">
        <f>Table3[[#This Row],[Units Sold]]*Table3[[#This Row],[Unit Price]]</f>
        <v>3000000</v>
      </c>
    </row>
    <row r="63" spans="1:9" ht="15.6" thickTop="1" thickBot="1" x14ac:dyDescent="0.35">
      <c r="A63" s="16">
        <v>11</v>
      </c>
      <c r="B63" s="5">
        <v>350000</v>
      </c>
      <c r="C63" s="11">
        <v>45694</v>
      </c>
      <c r="D63" s="18" t="s">
        <v>47</v>
      </c>
      <c r="E63" s="18" t="s">
        <v>27</v>
      </c>
      <c r="F63" s="18" t="s">
        <v>22</v>
      </c>
      <c r="G63" s="18" t="s">
        <v>60</v>
      </c>
      <c r="H63" s="20" t="s">
        <v>8</v>
      </c>
      <c r="I63" s="28">
        <f>Table3[[#This Row],[Units Sold]]*Table3[[#This Row],[Unit Price]]</f>
        <v>3850000</v>
      </c>
    </row>
    <row r="64" spans="1:9" ht="15.6" thickTop="1" thickBot="1" x14ac:dyDescent="0.35">
      <c r="A64" s="15">
        <v>14</v>
      </c>
      <c r="B64" s="10">
        <v>250000</v>
      </c>
      <c r="C64" s="9">
        <v>45671</v>
      </c>
      <c r="D64" s="20" t="s">
        <v>23</v>
      </c>
      <c r="E64" s="21" t="s">
        <v>24</v>
      </c>
      <c r="F64" s="21" t="s">
        <v>22</v>
      </c>
      <c r="G64" s="21" t="s">
        <v>36</v>
      </c>
      <c r="H64" s="18" t="s">
        <v>18</v>
      </c>
      <c r="I64" s="28">
        <f>Table3[[#This Row],[Units Sold]]*Table3[[#This Row],[Unit Price]]</f>
        <v>3500000</v>
      </c>
    </row>
    <row r="65" spans="1:9" ht="15" thickTop="1" x14ac:dyDescent="0.3">
      <c r="A65" s="16">
        <v>3</v>
      </c>
      <c r="B65" s="5">
        <v>150000</v>
      </c>
      <c r="C65" s="11">
        <v>45779</v>
      </c>
      <c r="D65" s="18" t="s">
        <v>19</v>
      </c>
      <c r="E65" s="21" t="s">
        <v>11</v>
      </c>
      <c r="F65" s="18" t="s">
        <v>40</v>
      </c>
      <c r="G65" s="20" t="s">
        <v>56</v>
      </c>
      <c r="H65" s="21" t="s">
        <v>12</v>
      </c>
      <c r="I65" s="28">
        <f>Table3[[#This Row],[Units Sold]]*Table3[[#This Row],[Unit Price]]</f>
        <v>450000</v>
      </c>
    </row>
    <row r="66" spans="1:9" x14ac:dyDescent="0.3">
      <c r="A66" s="15">
        <v>6</v>
      </c>
      <c r="B66" s="10">
        <v>85000</v>
      </c>
      <c r="C66" s="9">
        <v>111568</v>
      </c>
      <c r="D66" s="18" t="s">
        <v>51</v>
      </c>
      <c r="E66" s="18" t="s">
        <v>30</v>
      </c>
      <c r="F66" s="21" t="s">
        <v>34</v>
      </c>
      <c r="G66" s="18" t="s">
        <v>59</v>
      </c>
      <c r="H66" s="18" t="s">
        <v>18</v>
      </c>
      <c r="I66" s="28">
        <f>Table3[[#This Row],[Units Sold]]*Table3[[#This Row],[Unit Price]]</f>
        <v>510000</v>
      </c>
    </row>
    <row r="67" spans="1:9" x14ac:dyDescent="0.3">
      <c r="A67" s="16">
        <v>15</v>
      </c>
      <c r="B67" s="5">
        <v>350000</v>
      </c>
      <c r="C67" s="11">
        <v>45670</v>
      </c>
      <c r="D67" s="18" t="s">
        <v>47</v>
      </c>
      <c r="E67" s="18" t="s">
        <v>27</v>
      </c>
      <c r="F67" s="18" t="s">
        <v>22</v>
      </c>
      <c r="G67" s="18" t="s">
        <v>60</v>
      </c>
      <c r="H67" s="21" t="s">
        <v>12</v>
      </c>
      <c r="I67" s="28">
        <f>Table3[[#This Row],[Units Sold]]*Table3[[#This Row],[Unit Price]]</f>
        <v>5250000</v>
      </c>
    </row>
    <row r="68" spans="1:9" ht="15" thickBot="1" x14ac:dyDescent="0.35">
      <c r="A68" s="15">
        <v>16</v>
      </c>
      <c r="B68" s="10">
        <v>150000</v>
      </c>
      <c r="C68" s="9">
        <v>45810</v>
      </c>
      <c r="D68" s="18" t="s">
        <v>19</v>
      </c>
      <c r="E68" s="21" t="s">
        <v>11</v>
      </c>
      <c r="F68" s="18" t="s">
        <v>54</v>
      </c>
      <c r="G68" s="21" t="s">
        <v>36</v>
      </c>
      <c r="H68" s="21" t="s">
        <v>10</v>
      </c>
      <c r="I68" s="28">
        <f>Table3[[#This Row],[Units Sold]]*Table3[[#This Row],[Unit Price]]</f>
        <v>2400000</v>
      </c>
    </row>
    <row r="69" spans="1:9" ht="15.6" thickTop="1" thickBot="1" x14ac:dyDescent="0.35">
      <c r="A69" s="16">
        <v>8</v>
      </c>
      <c r="B69" s="5">
        <v>175000</v>
      </c>
      <c r="C69" s="11">
        <v>45704</v>
      </c>
      <c r="D69" s="18" t="s">
        <v>50</v>
      </c>
      <c r="E69" s="18" t="s">
        <v>20</v>
      </c>
      <c r="F69" s="18" t="s">
        <v>29</v>
      </c>
      <c r="G69" s="20" t="s">
        <v>56</v>
      </c>
      <c r="H69" s="18" t="s">
        <v>18</v>
      </c>
      <c r="I69" s="28">
        <f>Table3[[#This Row],[Units Sold]]*Table3[[#This Row],[Unit Price]]</f>
        <v>1400000</v>
      </c>
    </row>
    <row r="70" spans="1:9" ht="15.6" thickTop="1" thickBot="1" x14ac:dyDescent="0.35">
      <c r="A70" s="15">
        <v>2</v>
      </c>
      <c r="B70" s="10">
        <v>85000</v>
      </c>
      <c r="C70" s="9">
        <v>45761</v>
      </c>
      <c r="D70" s="18" t="s">
        <v>51</v>
      </c>
      <c r="E70" s="18" t="s">
        <v>30</v>
      </c>
      <c r="F70" s="21" t="s">
        <v>22</v>
      </c>
      <c r="G70" s="21" t="s">
        <v>58</v>
      </c>
      <c r="H70" s="20" t="s">
        <v>8</v>
      </c>
      <c r="I70" s="28">
        <f>Table3[[#This Row],[Units Sold]]*Table3[[#This Row],[Unit Price]]</f>
        <v>170000</v>
      </c>
    </row>
    <row r="71" spans="1:9" ht="15" thickTop="1" x14ac:dyDescent="0.3">
      <c r="A71" s="16">
        <v>13</v>
      </c>
      <c r="B71" s="5">
        <v>250000</v>
      </c>
      <c r="C71" s="11">
        <v>45663</v>
      </c>
      <c r="D71" s="20" t="s">
        <v>23</v>
      </c>
      <c r="E71" s="18" t="s">
        <v>24</v>
      </c>
      <c r="F71" s="21" t="s">
        <v>55</v>
      </c>
      <c r="G71" s="21" t="s">
        <v>36</v>
      </c>
      <c r="H71" s="21" t="s">
        <v>10</v>
      </c>
      <c r="I71" s="28">
        <f>Table3[[#This Row],[Units Sold]]*Table3[[#This Row],[Unit Price]]</f>
        <v>3250000</v>
      </c>
    </row>
    <row r="72" spans="1:9" ht="15" thickBot="1" x14ac:dyDescent="0.35">
      <c r="A72" s="15">
        <v>11</v>
      </c>
      <c r="B72" s="10">
        <v>65000</v>
      </c>
      <c r="C72" s="9">
        <v>45668</v>
      </c>
      <c r="D72" s="21" t="s">
        <v>49</v>
      </c>
      <c r="E72" s="18" t="s">
        <v>53</v>
      </c>
      <c r="F72" s="21" t="s">
        <v>22</v>
      </c>
      <c r="G72" s="18" t="s">
        <v>60</v>
      </c>
      <c r="H72" s="21" t="s">
        <v>12</v>
      </c>
      <c r="I72" s="28">
        <f>Table3[[#This Row],[Units Sold]]*Table3[[#This Row],[Unit Price]]</f>
        <v>715000</v>
      </c>
    </row>
    <row r="73" spans="1:9" ht="15" thickTop="1" x14ac:dyDescent="0.3">
      <c r="A73" s="16">
        <v>17</v>
      </c>
      <c r="B73" s="5">
        <v>3500</v>
      </c>
      <c r="C73" s="11">
        <v>45825</v>
      </c>
      <c r="D73" s="18" t="s">
        <v>47</v>
      </c>
      <c r="E73" s="18" t="s">
        <v>27</v>
      </c>
      <c r="F73" s="18" t="s">
        <v>22</v>
      </c>
      <c r="G73" s="18" t="s">
        <v>16</v>
      </c>
      <c r="H73" s="20" t="s">
        <v>8</v>
      </c>
      <c r="I73" s="28">
        <f>Table3[[#This Row],[Units Sold]]*Table3[[#This Row],[Unit Price]]</f>
        <v>59500</v>
      </c>
    </row>
    <row r="74" spans="1:9" x14ac:dyDescent="0.3">
      <c r="A74" s="15">
        <v>18</v>
      </c>
      <c r="B74" s="10">
        <v>65000</v>
      </c>
      <c r="C74" s="9">
        <v>45671</v>
      </c>
      <c r="D74" s="21" t="s">
        <v>49</v>
      </c>
      <c r="E74" s="18" t="s">
        <v>53</v>
      </c>
      <c r="F74" s="21" t="s">
        <v>22</v>
      </c>
      <c r="G74" s="21" t="s">
        <v>32</v>
      </c>
      <c r="H74" s="21" t="s">
        <v>12</v>
      </c>
      <c r="I74" s="28">
        <f>Table3[[#This Row],[Units Sold]]*Table3[[#This Row],[Unit Price]]</f>
        <v>1170000</v>
      </c>
    </row>
    <row r="75" spans="1:9" ht="15" thickBot="1" x14ac:dyDescent="0.35">
      <c r="A75" s="16">
        <v>13</v>
      </c>
      <c r="B75" s="5">
        <v>180000</v>
      </c>
      <c r="C75" s="11">
        <v>45806</v>
      </c>
      <c r="D75" s="18" t="s">
        <v>48</v>
      </c>
      <c r="E75" s="21" t="s">
        <v>11</v>
      </c>
      <c r="F75" s="21" t="s">
        <v>55</v>
      </c>
      <c r="G75" s="21" t="s">
        <v>57</v>
      </c>
      <c r="H75" s="18" t="s">
        <v>18</v>
      </c>
      <c r="I75" s="28">
        <f>Table3[[#This Row],[Units Sold]]*Table3[[#This Row],[Unit Price]]</f>
        <v>2340000</v>
      </c>
    </row>
    <row r="76" spans="1:9" ht="15" thickTop="1" x14ac:dyDescent="0.3">
      <c r="A76" s="15">
        <v>10</v>
      </c>
      <c r="B76" s="10">
        <v>175000</v>
      </c>
      <c r="C76" s="9">
        <v>45731</v>
      </c>
      <c r="D76" s="21" t="s">
        <v>50</v>
      </c>
      <c r="E76" s="21" t="s">
        <v>20</v>
      </c>
      <c r="F76" s="21" t="s">
        <v>15</v>
      </c>
      <c r="G76" s="18" t="s">
        <v>61</v>
      </c>
      <c r="H76" s="20" t="s">
        <v>8</v>
      </c>
      <c r="I76" s="28">
        <f>Table3[[#This Row],[Units Sold]]*Table3[[#This Row],[Unit Price]]</f>
        <v>1750000</v>
      </c>
    </row>
    <row r="77" spans="1:9" x14ac:dyDescent="0.3">
      <c r="A77" s="16">
        <v>5</v>
      </c>
      <c r="B77" s="5">
        <v>85000</v>
      </c>
      <c r="C77" s="11">
        <v>45742</v>
      </c>
      <c r="D77" s="18" t="s">
        <v>51</v>
      </c>
      <c r="E77" s="18" t="s">
        <v>30</v>
      </c>
      <c r="F77" s="21" t="s">
        <v>55</v>
      </c>
      <c r="G77" s="18" t="s">
        <v>62</v>
      </c>
      <c r="H77" s="18" t="s">
        <v>18</v>
      </c>
      <c r="I77" s="28">
        <f>Table3[[#This Row],[Units Sold]]*Table3[[#This Row],[Unit Price]]</f>
        <v>425000</v>
      </c>
    </row>
    <row r="78" spans="1:9" x14ac:dyDescent="0.3">
      <c r="A78" s="15">
        <v>17</v>
      </c>
      <c r="B78" s="10">
        <v>350000</v>
      </c>
      <c r="C78" s="9">
        <v>45669</v>
      </c>
      <c r="D78" s="21" t="s">
        <v>47</v>
      </c>
      <c r="E78" s="18" t="s">
        <v>27</v>
      </c>
      <c r="F78" s="18" t="s">
        <v>42</v>
      </c>
      <c r="G78" s="18" t="s">
        <v>59</v>
      </c>
      <c r="H78" s="21" t="s">
        <v>10</v>
      </c>
      <c r="I78" s="28">
        <f>Table3[[#This Row],[Units Sold]]*Table3[[#This Row],[Unit Price]]</f>
        <v>5950000</v>
      </c>
    </row>
    <row r="79" spans="1:9" x14ac:dyDescent="0.3">
      <c r="A79" s="16">
        <v>13</v>
      </c>
      <c r="B79" s="5">
        <v>350000</v>
      </c>
      <c r="C79" s="11">
        <v>45680</v>
      </c>
      <c r="D79" s="18" t="s">
        <v>47</v>
      </c>
      <c r="E79" s="18" t="s">
        <v>27</v>
      </c>
      <c r="F79" s="18" t="s">
        <v>34</v>
      </c>
      <c r="G79" s="18" t="s">
        <v>59</v>
      </c>
      <c r="H79" s="21" t="s">
        <v>10</v>
      </c>
      <c r="I79" s="28">
        <f>Table3[[#This Row],[Units Sold]]*Table3[[#This Row],[Unit Price]]</f>
        <v>4550000</v>
      </c>
    </row>
    <row r="80" spans="1:9" ht="15" thickBot="1" x14ac:dyDescent="0.35">
      <c r="A80" s="15">
        <v>8</v>
      </c>
      <c r="B80" s="10">
        <v>350000</v>
      </c>
      <c r="C80" s="9">
        <v>45782</v>
      </c>
      <c r="D80" s="21" t="s">
        <v>47</v>
      </c>
      <c r="E80" s="18" t="s">
        <v>27</v>
      </c>
      <c r="F80" s="18" t="s">
        <v>54</v>
      </c>
      <c r="G80" s="21" t="s">
        <v>25</v>
      </c>
      <c r="H80" s="21" t="s">
        <v>10</v>
      </c>
      <c r="I80" s="28">
        <f>Table3[[#This Row],[Units Sold]]*Table3[[#This Row],[Unit Price]]</f>
        <v>2800000</v>
      </c>
    </row>
    <row r="81" spans="1:9" ht="15" thickTop="1" x14ac:dyDescent="0.3">
      <c r="A81" s="16">
        <v>13</v>
      </c>
      <c r="B81" s="5">
        <v>85000</v>
      </c>
      <c r="C81" s="11">
        <v>45796</v>
      </c>
      <c r="D81" s="18" t="s">
        <v>51</v>
      </c>
      <c r="E81" s="18" t="s">
        <v>30</v>
      </c>
      <c r="F81" s="18" t="s">
        <v>15</v>
      </c>
      <c r="G81" s="18" t="s">
        <v>25</v>
      </c>
      <c r="H81" s="20" t="s">
        <v>8</v>
      </c>
      <c r="I81" s="28">
        <f>Table3[[#This Row],[Units Sold]]*Table3[[#This Row],[Unit Price]]</f>
        <v>1105000</v>
      </c>
    </row>
    <row r="82" spans="1:9" ht="15" thickBot="1" x14ac:dyDescent="0.35">
      <c r="A82" s="15">
        <v>17</v>
      </c>
      <c r="B82" s="10">
        <v>150000</v>
      </c>
      <c r="C82" s="9">
        <v>45751</v>
      </c>
      <c r="D82" s="18" t="s">
        <v>19</v>
      </c>
      <c r="E82" s="21" t="s">
        <v>11</v>
      </c>
      <c r="F82" s="21" t="s">
        <v>34</v>
      </c>
      <c r="G82" s="18" t="s">
        <v>9</v>
      </c>
      <c r="H82" s="18" t="s">
        <v>18</v>
      </c>
      <c r="I82" s="28">
        <f>Table3[[#This Row],[Units Sold]]*Table3[[#This Row],[Unit Price]]</f>
        <v>2550000</v>
      </c>
    </row>
    <row r="83" spans="1:9" ht="15" thickTop="1" x14ac:dyDescent="0.3">
      <c r="A83" s="16">
        <v>19</v>
      </c>
      <c r="B83" s="5">
        <v>65000</v>
      </c>
      <c r="C83" s="11">
        <v>45714</v>
      </c>
      <c r="D83" s="18" t="s">
        <v>49</v>
      </c>
      <c r="E83" s="18" t="s">
        <v>53</v>
      </c>
      <c r="F83" s="21" t="s">
        <v>55</v>
      </c>
      <c r="G83" s="18" t="s">
        <v>32</v>
      </c>
      <c r="H83" s="20" t="s">
        <v>8</v>
      </c>
      <c r="I83" s="28">
        <f>Table3[[#This Row],[Units Sold]]*Table3[[#This Row],[Unit Price]]</f>
        <v>1235000</v>
      </c>
    </row>
    <row r="84" spans="1:9" ht="15" thickBot="1" x14ac:dyDescent="0.35">
      <c r="A84" s="15">
        <v>1</v>
      </c>
      <c r="B84" s="10">
        <v>150000</v>
      </c>
      <c r="C84" s="9">
        <v>45811</v>
      </c>
      <c r="D84" s="18" t="s">
        <v>19</v>
      </c>
      <c r="E84" s="21" t="s">
        <v>11</v>
      </c>
      <c r="F84" s="21" t="s">
        <v>55</v>
      </c>
      <c r="G84" s="21" t="s">
        <v>62</v>
      </c>
      <c r="H84" s="21" t="s">
        <v>10</v>
      </c>
      <c r="I84" s="28">
        <f>Table3[[#This Row],[Units Sold]]*Table3[[#This Row],[Unit Price]]</f>
        <v>150000</v>
      </c>
    </row>
    <row r="85" spans="1:9" ht="15" thickTop="1" x14ac:dyDescent="0.3">
      <c r="A85" s="16">
        <v>13</v>
      </c>
      <c r="B85" s="5">
        <v>250000</v>
      </c>
      <c r="C85" s="11">
        <v>45752</v>
      </c>
      <c r="D85" s="20" t="s">
        <v>23</v>
      </c>
      <c r="E85" s="18" t="s">
        <v>24</v>
      </c>
      <c r="F85" s="18" t="s">
        <v>22</v>
      </c>
      <c r="G85" s="18" t="s">
        <v>25</v>
      </c>
      <c r="H85" s="18" t="s">
        <v>18</v>
      </c>
      <c r="I85" s="28">
        <f>Table3[[#This Row],[Units Sold]]*Table3[[#This Row],[Unit Price]]</f>
        <v>3250000</v>
      </c>
    </row>
    <row r="86" spans="1:9" ht="15" thickBot="1" x14ac:dyDescent="0.35">
      <c r="A86" s="15">
        <v>18</v>
      </c>
      <c r="B86" s="10">
        <v>65000</v>
      </c>
      <c r="C86" s="9">
        <v>45687</v>
      </c>
      <c r="D86" s="21" t="s">
        <v>49</v>
      </c>
      <c r="E86" s="18" t="s">
        <v>53</v>
      </c>
      <c r="F86" s="21" t="s">
        <v>22</v>
      </c>
      <c r="G86" s="21" t="s">
        <v>63</v>
      </c>
      <c r="H86" s="18" t="s">
        <v>18</v>
      </c>
      <c r="I86" s="28">
        <f>Table3[[#This Row],[Units Sold]]*Table3[[#This Row],[Unit Price]]</f>
        <v>1170000</v>
      </c>
    </row>
    <row r="87" spans="1:9" ht="15" thickTop="1" x14ac:dyDescent="0.3">
      <c r="A87" s="16">
        <v>20</v>
      </c>
      <c r="B87" s="5">
        <v>250000</v>
      </c>
      <c r="C87" s="11">
        <v>45688</v>
      </c>
      <c r="D87" s="20" t="s">
        <v>23</v>
      </c>
      <c r="E87" s="18" t="s">
        <v>24</v>
      </c>
      <c r="F87" s="18" t="s">
        <v>15</v>
      </c>
      <c r="G87" s="18" t="s">
        <v>16</v>
      </c>
      <c r="H87" s="21" t="s">
        <v>10</v>
      </c>
      <c r="I87" s="28">
        <f>Table3[[#This Row],[Units Sold]]*Table3[[#This Row],[Unit Price]]</f>
        <v>5000000</v>
      </c>
    </row>
    <row r="88" spans="1:9" ht="15" thickBot="1" x14ac:dyDescent="0.35">
      <c r="A88" s="15">
        <v>4</v>
      </c>
      <c r="B88" s="10">
        <v>180000</v>
      </c>
      <c r="C88" s="9">
        <v>45804</v>
      </c>
      <c r="D88" s="21" t="s">
        <v>48</v>
      </c>
      <c r="E88" s="21" t="s">
        <v>11</v>
      </c>
      <c r="F88" s="21" t="s">
        <v>15</v>
      </c>
      <c r="G88" s="18" t="s">
        <v>9</v>
      </c>
      <c r="H88" s="18" t="s">
        <v>18</v>
      </c>
      <c r="I88" s="28">
        <f>Table3[[#This Row],[Units Sold]]*Table3[[#This Row],[Unit Price]]</f>
        <v>720000</v>
      </c>
    </row>
    <row r="89" spans="1:9" ht="15.6" thickTop="1" thickBot="1" x14ac:dyDescent="0.35">
      <c r="A89" s="16">
        <v>5</v>
      </c>
      <c r="B89" s="5">
        <v>150000</v>
      </c>
      <c r="C89" s="11">
        <v>45755</v>
      </c>
      <c r="D89" s="18" t="s">
        <v>19</v>
      </c>
      <c r="E89" s="21" t="s">
        <v>11</v>
      </c>
      <c r="F89" s="18" t="s">
        <v>22</v>
      </c>
      <c r="G89" s="18" t="s">
        <v>13</v>
      </c>
      <c r="H89" s="20" t="s">
        <v>8</v>
      </c>
      <c r="I89" s="28">
        <f>Table3[[#This Row],[Units Sold]]*Table3[[#This Row],[Unit Price]]</f>
        <v>750000</v>
      </c>
    </row>
    <row r="90" spans="1:9" ht="15.6" thickTop="1" thickBot="1" x14ac:dyDescent="0.35">
      <c r="A90" s="15">
        <v>11</v>
      </c>
      <c r="B90" s="10">
        <v>2500000</v>
      </c>
      <c r="C90" s="9">
        <v>45701</v>
      </c>
      <c r="D90" s="20" t="s">
        <v>23</v>
      </c>
      <c r="E90" s="21" t="s">
        <v>24</v>
      </c>
      <c r="F90" s="21" t="s">
        <v>34</v>
      </c>
      <c r="G90" s="21" t="s">
        <v>16</v>
      </c>
      <c r="H90" s="21" t="s">
        <v>12</v>
      </c>
      <c r="I90" s="28">
        <f>Table3[[#This Row],[Units Sold]]*Table3[[#This Row],[Unit Price]]</f>
        <v>27500000</v>
      </c>
    </row>
    <row r="91" spans="1:9" ht="15" thickTop="1" x14ac:dyDescent="0.3">
      <c r="A91" s="16">
        <v>20</v>
      </c>
      <c r="B91" s="5">
        <v>250000</v>
      </c>
      <c r="C91" s="11">
        <v>45725</v>
      </c>
      <c r="D91" s="20" t="s">
        <v>23</v>
      </c>
      <c r="E91" s="18" t="s">
        <v>24</v>
      </c>
      <c r="F91" s="18" t="s">
        <v>54</v>
      </c>
      <c r="G91" s="18" t="s">
        <v>21</v>
      </c>
      <c r="H91" s="18" t="s">
        <v>18</v>
      </c>
      <c r="I91" s="28">
        <f>Table3[[#This Row],[Units Sold]]*Table3[[#This Row],[Unit Price]]</f>
        <v>5000000</v>
      </c>
    </row>
    <row r="92" spans="1:9" ht="15" thickBot="1" x14ac:dyDescent="0.35">
      <c r="A92" s="15">
        <v>7</v>
      </c>
      <c r="B92" s="10">
        <v>89233</v>
      </c>
      <c r="C92" s="9">
        <v>55569</v>
      </c>
      <c r="D92" s="18" t="s">
        <v>51</v>
      </c>
      <c r="E92" s="18" t="s">
        <v>30</v>
      </c>
      <c r="F92" s="21" t="s">
        <v>34</v>
      </c>
      <c r="G92" s="21" t="s">
        <v>32</v>
      </c>
      <c r="H92" s="21" t="s">
        <v>12</v>
      </c>
      <c r="I92" s="28">
        <f>Table3[[#This Row],[Units Sold]]*Table3[[#This Row],[Unit Price]]</f>
        <v>624631</v>
      </c>
    </row>
    <row r="93" spans="1:9" ht="15" thickTop="1" x14ac:dyDescent="0.3">
      <c r="A93" s="16">
        <v>5</v>
      </c>
      <c r="B93" s="5">
        <v>250000</v>
      </c>
      <c r="C93" s="11">
        <v>45707</v>
      </c>
      <c r="D93" s="20" t="s">
        <v>23</v>
      </c>
      <c r="E93" s="18" t="s">
        <v>24</v>
      </c>
      <c r="F93" s="18" t="s">
        <v>42</v>
      </c>
      <c r="G93" s="21" t="s">
        <v>63</v>
      </c>
      <c r="H93" s="18" t="s">
        <v>18</v>
      </c>
      <c r="I93" s="28">
        <f>Table3[[#This Row],[Units Sold]]*Table3[[#This Row],[Unit Price]]</f>
        <v>1250000</v>
      </c>
    </row>
    <row r="94" spans="1:9" x14ac:dyDescent="0.3">
      <c r="A94" s="15">
        <v>19</v>
      </c>
      <c r="B94" s="10">
        <v>175000</v>
      </c>
      <c r="C94" s="9">
        <v>45757</v>
      </c>
      <c r="D94" s="21" t="s">
        <v>50</v>
      </c>
      <c r="E94" s="21" t="s">
        <v>20</v>
      </c>
      <c r="F94" s="18" t="s">
        <v>42</v>
      </c>
      <c r="G94" s="21" t="s">
        <v>58</v>
      </c>
      <c r="H94" s="18" t="s">
        <v>18</v>
      </c>
      <c r="I94" s="28">
        <f>Table3[[#This Row],[Units Sold]]*Table3[[#This Row],[Unit Price]]</f>
        <v>3325000</v>
      </c>
    </row>
    <row r="95" spans="1:9" ht="15" thickBot="1" x14ac:dyDescent="0.35">
      <c r="A95" s="16">
        <v>14</v>
      </c>
      <c r="B95" s="5">
        <v>350000</v>
      </c>
      <c r="C95" s="11">
        <v>45798</v>
      </c>
      <c r="D95" s="18" t="s">
        <v>47</v>
      </c>
      <c r="E95" s="18" t="s">
        <v>27</v>
      </c>
      <c r="F95" s="21" t="s">
        <v>55</v>
      </c>
      <c r="G95" s="18" t="s">
        <v>9</v>
      </c>
      <c r="H95" s="18" t="s">
        <v>18</v>
      </c>
      <c r="I95" s="28">
        <f>Table3[[#This Row],[Units Sold]]*Table3[[#This Row],[Unit Price]]</f>
        <v>4900000</v>
      </c>
    </row>
    <row r="96" spans="1:9" ht="15.6" thickTop="1" thickBot="1" x14ac:dyDescent="0.35">
      <c r="A96" s="15">
        <v>20</v>
      </c>
      <c r="B96" s="10">
        <v>175000</v>
      </c>
      <c r="C96" s="9">
        <v>45834</v>
      </c>
      <c r="D96" s="21" t="s">
        <v>50</v>
      </c>
      <c r="E96" s="21" t="s">
        <v>20</v>
      </c>
      <c r="F96" s="18" t="s">
        <v>42</v>
      </c>
      <c r="G96" s="20" t="s">
        <v>56</v>
      </c>
      <c r="H96" s="18" t="s">
        <v>18</v>
      </c>
      <c r="I96" s="28">
        <f>Table3[[#This Row],[Units Sold]]*Table3[[#This Row],[Unit Price]]</f>
        <v>3500000</v>
      </c>
    </row>
    <row r="97" spans="1:9" ht="15" thickTop="1" x14ac:dyDescent="0.3">
      <c r="A97" s="16">
        <v>18</v>
      </c>
      <c r="B97" s="5">
        <v>85000</v>
      </c>
      <c r="C97" s="11">
        <v>45708</v>
      </c>
      <c r="D97" s="18" t="s">
        <v>51</v>
      </c>
      <c r="E97" s="18" t="s">
        <v>30</v>
      </c>
      <c r="F97" s="18" t="s">
        <v>29</v>
      </c>
      <c r="G97" s="18" t="s">
        <v>60</v>
      </c>
      <c r="H97" s="20" t="s">
        <v>8</v>
      </c>
      <c r="I97" s="28">
        <f>Table3[[#This Row],[Units Sold]]*Table3[[#This Row],[Unit Price]]</f>
        <v>1530000</v>
      </c>
    </row>
    <row r="98" spans="1:9" ht="15" thickBot="1" x14ac:dyDescent="0.35">
      <c r="A98" s="15">
        <v>17</v>
      </c>
      <c r="B98" s="10">
        <v>175000</v>
      </c>
      <c r="C98" s="9">
        <v>45835</v>
      </c>
      <c r="D98" s="21" t="s">
        <v>50</v>
      </c>
      <c r="E98" s="21" t="s">
        <v>20</v>
      </c>
      <c r="F98" s="18" t="s">
        <v>54</v>
      </c>
      <c r="G98" s="18" t="s">
        <v>59</v>
      </c>
      <c r="H98" s="21" t="s">
        <v>10</v>
      </c>
      <c r="I98" s="28">
        <f>Table3[[#This Row],[Units Sold]]*Table3[[#This Row],[Unit Price]]</f>
        <v>2975000</v>
      </c>
    </row>
    <row r="99" spans="1:9" ht="15.6" thickTop="1" thickBot="1" x14ac:dyDescent="0.35">
      <c r="A99" s="16">
        <v>20</v>
      </c>
      <c r="B99" s="5">
        <v>250000</v>
      </c>
      <c r="C99" s="11">
        <v>45693</v>
      </c>
      <c r="D99" s="20" t="s">
        <v>23</v>
      </c>
      <c r="E99" s="18" t="s">
        <v>24</v>
      </c>
      <c r="F99" s="18" t="s">
        <v>34</v>
      </c>
      <c r="G99" s="18" t="s">
        <v>9</v>
      </c>
      <c r="H99" s="20" t="s">
        <v>8</v>
      </c>
      <c r="I99" s="28">
        <f>Table3[[#This Row],[Units Sold]]*Table3[[#This Row],[Unit Price]]</f>
        <v>5000000</v>
      </c>
    </row>
    <row r="100" spans="1:9" ht="15" thickTop="1" x14ac:dyDescent="0.3">
      <c r="A100" s="15">
        <v>20</v>
      </c>
      <c r="B100" s="10">
        <v>350000</v>
      </c>
      <c r="C100" s="9">
        <v>45815</v>
      </c>
      <c r="D100" s="21" t="s">
        <v>47</v>
      </c>
      <c r="E100" s="18" t="s">
        <v>27</v>
      </c>
      <c r="F100" s="21" t="s">
        <v>29</v>
      </c>
      <c r="G100" s="21" t="s">
        <v>32</v>
      </c>
      <c r="H100" s="20" t="s">
        <v>8</v>
      </c>
      <c r="I100" s="28">
        <f>Table3[[#This Row],[Units Sold]]*Table3[[#This Row],[Unit Price]]</f>
        <v>7000000</v>
      </c>
    </row>
    <row r="101" spans="1:9" x14ac:dyDescent="0.3">
      <c r="A101" s="17">
        <v>18</v>
      </c>
      <c r="B101" s="4">
        <v>150000</v>
      </c>
      <c r="C101" s="12">
        <v>45790</v>
      </c>
      <c r="D101" s="18" t="s">
        <v>19</v>
      </c>
      <c r="E101" s="21" t="s">
        <v>11</v>
      </c>
      <c r="F101" s="21" t="s">
        <v>55</v>
      </c>
      <c r="G101" s="18" t="s">
        <v>13</v>
      </c>
      <c r="H101" s="21" t="s">
        <v>12</v>
      </c>
      <c r="I101" s="28">
        <f>Table3[[#This Row],[Units Sold]]*Table3[[#This Row],[Unit Price]]</f>
        <v>2700000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Raw Data </vt:lpstr>
      <vt:lpstr>Sheet2</vt:lpstr>
      <vt:lpstr>Sales Analysis</vt:lpstr>
      <vt:lpstr>Product Analysis</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Muhsin H.</dc:creator>
  <cp:keywords>Personal</cp:keywords>
  <cp:lastModifiedBy>Admin</cp:lastModifiedBy>
  <dcterms:created xsi:type="dcterms:W3CDTF">2025-10-20T20:05:08Z</dcterms:created>
  <dcterms:modified xsi:type="dcterms:W3CDTF">2026-01-14T15:32:31Z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2025-10-28T17:00:44Z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e850a7d0-6f71-4a59-8f31-fc421635ba4f</vt:lpwstr>
  </property>
  <property fmtid="{D5CDD505-2E9C-101B-9397-08002B2CF9AE}" pid="7" name="MSIP_Label_defa4170-0d19-0005-0004-bc88714345d2_ActionId">
    <vt:lpwstr>a905a4e3-0ba4-43da-99e7-ede8b93906d5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